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vo" sheetId="1" r:id="rId5"/>
    <sheet state="visible" name="Ejemplo" sheetId="2" r:id="rId6"/>
    <sheet state="visible" name="LD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tc={896f48db-a454-4e01-badb-23ca6f8c4092}</author>
    <author>tc={d18cb82e-e036-48e3-b959-02cc1f560603}</author>
  </authors>
  <commentList>
    <comment authorId="0" xr:uid="{896f48db-a454-4e01-badb-23ca6f8c4092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Proceso al que pertenece la actividad que realiza. Se sugiere manejar un mismo estándar con sus compañeros.
</t>
      </text>
    </comment>
    <comment authorId="1" xr:uid="{d18cb82e-e036-48e3-b959-02cc1f560603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Forma parte de un proceso.
Deben estar desagregadas y ser escritas en infinitivo.
Ejemplo: Realizar seguimiento…, Comprar…, Participar en reunión…, Recibir y revisar…, Elaborar informe,...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tc={54079ad4-5752-4f00-817c-638baf3ced22}</author>
    <author>tc={84901fea-5bee-4a25-857d-e991df25fab2}</author>
    <author>tc={95b847c2-2743-4e21-ab39-2b975d036a46}</author>
    <author>tc={ccde42c1-f9a7-4ced-aa52-f8e3cf1d8bfc}</author>
    <author>tc={e957534b-59f1-4c0e-9ac9-277ba62379df}</author>
    <author>tc={ecfdeade-84de-4f1a-a449-013601bab867}</author>
    <author>tc={fa046cf0-d3e1-489d-8836-b47da41f4e1a}</author>
    <author>tc={fab0c5bf-9502-4992-8c36-77654de8b519}</author>
  </authors>
  <commentList>
    <comment authorId="0" xr:uid="{54079ad4-5752-4f00-817c-638baf3ced22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el tiempo promedio en Minutos de cada vez que se realiza una actividad.
Ejemplo:
Si cada vez que se realiza una actividad, se toma 2 minutos en promedio; se coloca 2. 
Es independiente a las veces que se realiza (no importa si es 1 vez al año, 220 veces por semana o 5 veces al día).
</t>
      </text>
    </comment>
    <comment authorId="1" xr:uid="{84901fea-5bee-4a25-857d-e991df25fab2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aquello que sirva para entender la actividad. 
Considerar que el equipo consultor no necesariamente está familiarizado con sus actividades.
Nota: La información contenida entre paréntesis sirve para esclarecer algunos cálculos y no es necesario que la coloque Ud. al escribir sus comentarios.
</t>
      </text>
    </comment>
    <comment authorId="2" xr:uid="{95b847c2-2743-4e21-ab39-2b975d036a46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Rojo = Mal llenado.
</t>
      </text>
    </comment>
    <comment authorId="3" xr:uid="{ccde42c1-f9a7-4ced-aa52-f8e3cf1d8bfc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Proceso al que pertenece la actividad que realiza. Se sugiere manejar un mismo estándar con sus compañeros.
</t>
      </text>
    </comment>
    <comment authorId="4" xr:uid="{e957534b-59f1-4c0e-9ac9-277ba62379df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Forma parte de un proceso.
Deben estar desagregadas y ser escritas en infinitivo.
Ejemplo: Realizar seguimiento…, Comprar…, Participar en reunión…, Recibir y revisar…, Elaborar informe,...
</t>
      </text>
    </comment>
    <comment authorId="5" xr:uid="{ecfdeade-84de-4f1a-a449-013601bab867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Campo exclusivo del equipo consultor. No llenar.
</t>
      </text>
    </comment>
    <comment authorId="6" xr:uid="{fa046cf0-d3e1-489d-8836-b47da41f4e1a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Campo formulado que muestra el cálculo de veces en que se realiza una actividad en promedio al mes (volumen de actividades mensual).
</t>
      </text>
    </comment>
    <comment authorId="7" xr:uid="{fab0c5bf-9502-4992-8c36-77654de8b519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Oportunidad de optimización.
1. Colocar "A" si Ud. considera que esta actividad se puede mejorar con una automatización a nivel de sistemas o Excel.
2. Colocar "R" si Ud. considera que esta actividad se puede mejorar a nivel de reingeniería de procesos, es decir cambios en las actividades.
</t>
      </text>
    </comment>
  </commentList>
</comments>
</file>

<file path=xl/sharedStrings.xml><?xml version="1.0" encoding="utf-8"?>
<sst xmlns="http://schemas.openxmlformats.org/spreadsheetml/2006/main" count="293" uniqueCount="184">
  <si>
    <t>INSTRUCTIVO PARA EL LLENADO DE LAS LISTAS DE ACTIVIDADES</t>
  </si>
  <si>
    <t>1. SOBRE EL DOCUMENTO</t>
  </si>
  <si>
    <t>El siguiente documento tiene como objetivo hacer un levantamiento de sus actividades con el proósito</t>
  </si>
  <si>
    <t>de conocer las actividades que demandan mayor tiempo y tienen oportunidades de mejora en las áreas</t>
  </si>
  <si>
    <t>de la empresa.</t>
  </si>
  <si>
    <r>
      <rPr>
        <rFont val="Calibri"/>
        <color theme="1"/>
        <sz val="11.0"/>
      </rPr>
      <t xml:space="preserve">El formato a ser llenado se ubica en la hoja </t>
    </r>
    <r>
      <rPr>
        <rFont val="Calibri"/>
        <b/>
        <color theme="1"/>
        <sz val="11.0"/>
      </rPr>
      <t>LDA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</si>
  <si>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Se puede revisar la hoja </t>
    </r>
    <r>
      <rPr>
        <rFont val="Calibri"/>
        <b/>
        <color theme="1"/>
        <sz val="11.0"/>
      </rPr>
      <t>Ejemplo</t>
    </r>
    <r>
      <rPr>
        <rFont val="Calibri"/>
        <color theme="1"/>
        <sz val="11.0"/>
      </rPr>
      <t>, donde hay actividades con diferentes frecuencias.</t>
    </r>
  </si>
  <si>
    <t>2. PRELIMINARES</t>
  </si>
  <si>
    <r>
      <rPr>
        <rFont val="Calibri"/>
        <color theme="1"/>
      </rPr>
      <t xml:space="preserve">Ubique su nombre, en la hoja </t>
    </r>
    <r>
      <rPr>
        <rFont val="Calibri"/>
        <b/>
        <color rgb="FF000000"/>
        <sz val="11.0"/>
        <u/>
      </rPr>
      <t>Lista de Personal</t>
    </r>
    <r>
      <rPr>
        <rFont val="Calibri"/>
        <color theme="1"/>
        <sz val="11.0"/>
      </rPr>
      <t xml:space="preserve">, coloque "x" al lado de sus datos en casilla seleccionar </t>
    </r>
  </si>
  <si>
    <r>
      <rPr>
        <rFont val="Calibri"/>
        <color theme="1"/>
      </rPr>
      <t xml:space="preserve">para que estos se carguen en la hoja </t>
    </r>
    <r>
      <rPr>
        <rFont val="Calibri"/>
        <b/>
        <color rgb="FF000000"/>
        <sz val="11.0"/>
        <u/>
      </rPr>
      <t>LDA</t>
    </r>
    <r>
      <rPr>
        <rFont val="Calibri"/>
        <color theme="1"/>
        <sz val="11.0"/>
      </rPr>
      <t>.</t>
    </r>
  </si>
  <si>
    <r>
      <rPr>
        <rFont val="Calibri"/>
        <b/>
        <color rgb="FF0000FF"/>
        <sz val="11.0"/>
      </rPr>
      <t>Importante:</t>
    </r>
    <r>
      <rPr>
        <rFont val="Calibri"/>
        <color rgb="FF0000FF"/>
        <sz val="11.0"/>
      </rPr>
      <t xml:space="preserve"> Grabar el archivo con el nombre definido en la hoja </t>
    </r>
    <r>
      <rPr>
        <rFont val="Calibri"/>
        <b/>
        <color rgb="FF0000FF"/>
        <sz val="11.0"/>
      </rPr>
      <t>Lista de Personal.</t>
    </r>
  </si>
  <si>
    <t>Si por alguna razón, su nombre o alguno de sus datos no figura en la lista, coloquelos de forma manual</t>
  </si>
  <si>
    <t>en los campos requeridos en la LDA y grabe el archivo con su código, nombres y apellidos.</t>
  </si>
  <si>
    <r>
      <rPr>
        <rFont val="Calibri"/>
        <b val="0"/>
        <color theme="1"/>
        <sz val="11.0"/>
      </rPr>
      <t xml:space="preserve">Ejemplo: </t>
    </r>
    <r>
      <rPr>
        <rFont val="Calibri"/>
        <b/>
        <color rgb="FF000000"/>
        <sz val="11.0"/>
      </rPr>
      <t xml:space="preserve">1425 - </t>
    </r>
    <r>
      <rPr>
        <rFont val="Calibri"/>
        <b/>
        <color theme="1"/>
        <sz val="11.0"/>
      </rPr>
      <t>Jose Figueroa Gonzales</t>
    </r>
  </si>
  <si>
    <t>3. LLENADO DE LISTAS DE ACTIVIDADES</t>
  </si>
  <si>
    <t>La lista de actividades está compuesta por los siguientes campos que deben ser completados:</t>
  </si>
  <si>
    <t>Encabezado de la Lista de Actividades</t>
  </si>
  <si>
    <t>Nombre</t>
  </si>
  <si>
    <t>Nombres y apellidos</t>
  </si>
  <si>
    <t>Cargo</t>
  </si>
  <si>
    <t>Puesto de trabajo actual</t>
  </si>
  <si>
    <t>Área</t>
  </si>
  <si>
    <t>Área a la que pertenece</t>
  </si>
  <si>
    <t>Fecha</t>
  </si>
  <si>
    <r>
      <rPr>
        <rFont val="Calibri"/>
        <color theme="1"/>
        <sz val="11.0"/>
      </rPr>
      <t xml:space="preserve">Fecha en la cual </t>
    </r>
    <r>
      <rPr>
        <rFont val="Calibri"/>
        <color rgb="FF000000"/>
        <sz val="11.0"/>
        <u/>
      </rPr>
      <t>terminó de llenar</t>
    </r>
    <r>
      <rPr>
        <rFont val="Calibri"/>
        <color theme="1"/>
        <sz val="11.0"/>
      </rPr>
      <t xml:space="preserve"> la Lista de Actividades.</t>
    </r>
  </si>
  <si>
    <t>Obj. Cargo</t>
  </si>
  <si>
    <t>Objetivo del cargo en concreto.</t>
  </si>
  <si>
    <t>Cuerpo de la Lista de Actividades</t>
  </si>
  <si>
    <t>Proceso</t>
  </si>
  <si>
    <t>Proceso al que pertenece la actividad que realiza.</t>
  </si>
  <si>
    <t>Se sugiere manejar un mismo estándar con sus compañeros.</t>
  </si>
  <si>
    <t>Actividad</t>
  </si>
  <si>
    <t>Actividad que forma parte de un proceso.</t>
  </si>
  <si>
    <t>Las actividades deben estar desagregadas.</t>
  </si>
  <si>
    <t>Debe ser escrita en infinitivo como acción.</t>
  </si>
  <si>
    <t>Ejemplo: Realizar seguimiento…, Comprar…, Elaborar…, Recibir y revisar…</t>
  </si>
  <si>
    <t>Una actividad puede ser asistir a una reunión:</t>
  </si>
  <si>
    <t>Ejemplo:</t>
  </si>
  <si>
    <t xml:space="preserve">Un proceso puede ser "Venta a Distribuidores" y la acticividad </t>
  </si>
  <si>
    <t>"Participar en reunión de seguimiento de ventas."</t>
  </si>
  <si>
    <t>Tipo</t>
  </si>
  <si>
    <t>Permite identificar si el tipo de actividad es de reportes o reuniones.</t>
  </si>
  <si>
    <t xml:space="preserve">Colocar "Rep" si la actividad corresponde a la elaboración de un informe, </t>
  </si>
  <si>
    <t>reporte o tablero de indicadores.</t>
  </si>
  <si>
    <t>Colocar "Reu" si la actividad corresponde a una reunión.</t>
  </si>
  <si>
    <t xml:space="preserve">Si el proceso es "Venta a Distribuidores" y la actividad </t>
  </si>
  <si>
    <t>"Elaborar informe de Cierre de Distribuidores.", colocar "Rep".</t>
  </si>
  <si>
    <r>
      <rPr>
        <rFont val="Calibri"/>
        <b/>
        <color rgb="FF0000FF"/>
        <sz val="11.0"/>
      </rPr>
      <t>Importante:</t>
    </r>
    <r>
      <rPr>
        <rFont val="Calibri"/>
        <color rgb="FF0000FF"/>
        <sz val="11.0"/>
      </rPr>
      <t xml:space="preserve"> Se sugiere iniciar por listar todas actividades que se realizan y luego agregar</t>
    </r>
  </si>
  <si>
    <t>la cantidad, frecuencia y el tiempo. Una opción es primero listar las reuniones y reportes,</t>
  </si>
  <si>
    <t>para luego continuar con las demás actividades.</t>
  </si>
  <si>
    <t>Semana</t>
  </si>
  <si>
    <t>Permite identificar en que semana(s) se realiza una determinada actividad.</t>
  </si>
  <si>
    <t>Sem 1:    1 a   7</t>
  </si>
  <si>
    <t>Sem 2:    8 a 15</t>
  </si>
  <si>
    <t>Sem 3:  16 a 23</t>
  </si>
  <si>
    <t>Sem 4:  24 a fin de mes.</t>
  </si>
  <si>
    <t>Frecuencia</t>
  </si>
  <si>
    <t>Diaria</t>
  </si>
  <si>
    <t>Se coloca el promedio diaro, si la actividad se realiza con esa frecuencia.</t>
  </si>
  <si>
    <t>En esta herramienta se ha considerado 22 días por mes, por tanto si una</t>
  </si>
  <si>
    <t>actividad tiene 220 repeticiones al mes, se coloca una carga de 10 al día.</t>
  </si>
  <si>
    <t>Esto sirve para actividades constantes (usualmente sin picos).</t>
  </si>
  <si>
    <t>Semanal</t>
  </si>
  <si>
    <t>Se coloca el promedio semanal. La herramienta está parametrizada a 4.3</t>
  </si>
  <si>
    <t>semanas por mes. Entonces, si una actividad se repite 100 veces al mes,</t>
  </si>
  <si>
    <t>se coloca 23.26 (100/4.3). Si fuera 2 veces por semana se coloca lo mismo</t>
  </si>
  <si>
    <t>pero se debe agregar el comentario.</t>
  </si>
  <si>
    <t>Quincenal</t>
  </si>
  <si>
    <t>Se coloca el promedio quincenal. La herramienta está parametrizada a 2</t>
  </si>
  <si>
    <t>quincenas por mes. Entonces, si una actividad se repite 100 veces al mes,</t>
  </si>
  <si>
    <t>se coloca 50 (100/2).</t>
  </si>
  <si>
    <t>Mensual</t>
  </si>
  <si>
    <t>Se coloca el promedio mensual. La herramienta está parametrizada de</t>
  </si>
  <si>
    <t>forma mensual. Entonces, si una actividad se repite 100 veces al mes, se</t>
  </si>
  <si>
    <t>coloca 100; o si por ejemplo se trata de 1 informe mensual, se coloca 1.</t>
  </si>
  <si>
    <t>Anual</t>
  </si>
  <si>
    <t>Se coloca el número de veces que se realiza una actividad al año. Si una</t>
  </si>
  <si>
    <t>actividad se realiza 1 vez al año, se coloca 1; si se realiza por semestre, se</t>
  </si>
  <si>
    <t>coloca 0.5 (1/2); trimestral sería 0.25 (1/4).</t>
  </si>
  <si>
    <t>Otros campos</t>
  </si>
  <si>
    <t>T x Unidad</t>
  </si>
  <si>
    <t>Tiempo por Unidad. Es el tiempo en minutos que toma en promedio realizar</t>
  </si>
  <si>
    <t>cada vez una actividad.</t>
  </si>
  <si>
    <r>
      <rPr>
        <rFont val="Calibri"/>
        <b/>
        <color rgb="FF0000FF"/>
        <sz val="11.0"/>
      </rPr>
      <t>Importante:</t>
    </r>
    <r>
      <rPr>
        <rFont val="Calibri"/>
        <b val="0"/>
        <color rgb="FF0000FF"/>
        <sz val="11.0"/>
      </rPr>
      <t xml:space="preserve"> No importa la frecuencia definida, en este campo se coloca el</t>
    </r>
  </si>
  <si>
    <t>tiempo en minutos cada vez que se realiza la actividad.</t>
  </si>
  <si>
    <t>Ejemplo: Si en promedio, la actividad "revisar y visar solicitud de crédito"</t>
  </si>
  <si>
    <r>
      <rPr>
        <rFont val="Calibri"/>
        <color rgb="FF0000FF"/>
        <sz val="11.0"/>
      </rPr>
      <t xml:space="preserve">toma 2 minutos, se colocará en el campo </t>
    </r>
    <r>
      <rPr>
        <rFont val="Calibri"/>
        <b/>
        <color rgb="FF0000FF"/>
        <sz val="11.0"/>
      </rPr>
      <t>Tiempo x Unidad: 2</t>
    </r>
    <r>
      <rPr>
        <rFont val="Calibri"/>
        <color rgb="FF0000FF"/>
        <sz val="11.0"/>
      </rPr>
      <t>, así se realice</t>
    </r>
  </si>
  <si>
    <t>5 veces al día, 5 veces por semana, 12 veces por quincena, 20 veces al mes,</t>
  </si>
  <si>
    <t>o cualquier cotra combinación pues cada vez que se realiza la actividad, esta</t>
  </si>
  <si>
    <t>toma en promedio 2 minutos.</t>
  </si>
  <si>
    <t>Comentario</t>
  </si>
  <si>
    <t>Comentarios del usuario que está llenando la lista de actividades.</t>
  </si>
  <si>
    <t>Usuario</t>
  </si>
  <si>
    <t>Se debe considerar que el equipo consultor no está familiarizado con sus</t>
  </si>
  <si>
    <t>actividades, por ello se solicita que escriba todo lo que sirva para entenderlas</t>
  </si>
  <si>
    <t>y en lo posible el volumen que se ha colocado en los campos de frecuencia.</t>
  </si>
  <si>
    <t>Campo exclusivo para ser utilizado por el equipo consultor.</t>
  </si>
  <si>
    <t>Relevador</t>
  </si>
  <si>
    <t>En la hoja LDA Ejemplo se han colocado algunas explicaciones.</t>
  </si>
  <si>
    <t>Vol Mes</t>
  </si>
  <si>
    <t>Es un campo formulado que calcula el volumen de actividades con una</t>
  </si>
  <si>
    <t>frecuencia mensual. Si una actividad se realiza 01 vez por día aparecerá 22,</t>
  </si>
  <si>
    <t xml:space="preserve">si es 1 vez por semana aparecerá 4.3; 01 vez por quincena aparecerá 2; </t>
  </si>
  <si>
    <t>mensual 1 y anual 0.08 (1/12 meses).</t>
  </si>
  <si>
    <t>En actividades con varias repeticiones al mes, debería calcular el dato del</t>
  </si>
  <si>
    <t>promedio mensual.</t>
  </si>
  <si>
    <t>OPT</t>
  </si>
  <si>
    <t>Es un campo formulado que permite identificar a su criterio si existe una</t>
  </si>
  <si>
    <t>oportunidad de optimización a su criterio.</t>
  </si>
  <si>
    <t>Esta puede ser a nivel de Automatización en Excel o Sistemas, en cuyo</t>
  </si>
  <si>
    <t>caso se colocará "A" o a nivel de rediseño de procesos con "R".</t>
  </si>
  <si>
    <t>Atención de dudas a:</t>
  </si>
  <si>
    <t>CARLOS TASAYCO</t>
  </si>
  <si>
    <t>carlos.tasayco@gmail.com</t>
  </si>
  <si>
    <t>Nombre:</t>
  </si>
  <si>
    <t>Fecha:</t>
  </si>
  <si>
    <t>Área:</t>
  </si>
  <si>
    <t>Cargo:</t>
  </si>
  <si>
    <t>Cód.:</t>
  </si>
  <si>
    <t>Objetivo:</t>
  </si>
  <si>
    <t>N. Act.</t>
  </si>
  <si>
    <t>Diario</t>
  </si>
  <si>
    <t>Tiempo x Un (min)</t>
  </si>
  <si>
    <t>Comentarios Usuario</t>
  </si>
  <si>
    <t>Comentarios Proyecto</t>
  </si>
  <si>
    <t>Val</t>
  </si>
  <si>
    <t>Min Mes</t>
  </si>
  <si>
    <t>Hrs Mes</t>
  </si>
  <si>
    <t>Min Día</t>
  </si>
  <si>
    <t>Creación de clientes</t>
  </si>
  <si>
    <t>Revisar documentación del cliente para su creación en People Soft.</t>
  </si>
  <si>
    <t>x</t>
  </si>
  <si>
    <t>Se revisan los documentos físicos contra el check list. Se actualiza archivo en Excel donde se detalla el recibido documento por documento.</t>
  </si>
  <si>
    <t>-</t>
  </si>
  <si>
    <t>Ingresar información del cliente al modelo estadístico para estudio de crédito.</t>
  </si>
  <si>
    <t>2 de cada 5 clientes tienen documentos para estudio de crédito por lo que en promedio se estudian 22 clientes al mes. Consiste en tomar la documentación física y buscar los datos para incluirlos en la hoja de entradas del modelo.</t>
  </si>
  <si>
    <t>Correr y monitorear la ejecución del modelo estadístico para estudio de crédito.</t>
  </si>
  <si>
    <t>El modelo se corre y monitorea 1 vez por semana.</t>
  </si>
  <si>
    <t xml:space="preserve">Preparar reportes de productividad trimestral </t>
  </si>
  <si>
    <t>Se consolida el conteo diario para un análisis de volúmenes mensual y trimestral. Se presenta una vez al trimestre.</t>
  </si>
  <si>
    <t>Reuniones transversales</t>
  </si>
  <si>
    <t>Participar en reunión de toda el área.</t>
  </si>
  <si>
    <t>OTROS EJEMPLOS</t>
  </si>
  <si>
    <t>Administrativo</t>
  </si>
  <si>
    <t>Atender consultas del cliente vía correo electrónico.</t>
  </si>
  <si>
    <t>Revisión de correo. Se actualiza matriz de solicitudes de clientes (En promedio, esta actividad se realiza 10 veces al día, es decir 220 veces al mes y cada vez que se realiza demora 2 minutos). Se puede rediseñar la actividad con un motor de respuesta a preguntas frecuentes.</t>
  </si>
  <si>
    <t>Actividad Diaria.</t>
  </si>
  <si>
    <t>Renting</t>
  </si>
  <si>
    <t>Recibir, revisar y custodiar contrato de Renting.</t>
  </si>
  <si>
    <t>Recibe 22 contratos al mes, 2 veces por semana (cada semana tiene 4.3 días, entonces: 22/4.3/2 = 2.56 cada vez, pero al estar en campo semanal debe decir y 22/4.3 = 5.08). Se toma 10 minutos por contrato porque debe buscar en el cuarto de archivo la carpeta para archivar.</t>
  </si>
  <si>
    <r>
      <rPr>
        <rFont val="Calibri"/>
        <b/>
        <color rgb="FF0000FF"/>
        <sz val="9.0"/>
      </rPr>
      <t xml:space="preserve">Actividad Interdiaria
</t>
    </r>
    <r>
      <rPr>
        <rFont val="Calibri Light"/>
        <b val="0"/>
        <color rgb="FF0000FF"/>
        <sz val="9.0"/>
      </rPr>
      <t>Se coloca en campo semanal.</t>
    </r>
  </si>
  <si>
    <t>Compra de Cartera</t>
  </si>
  <si>
    <t>Recibir Garantías de las entidades financieras.</t>
  </si>
  <si>
    <t>Se recibe del mensajero externo las compras de cartera  por parte de las entidades financieras cada martes a las 9:00 a.m.</t>
  </si>
  <si>
    <t>Actividad Semanal.</t>
  </si>
  <si>
    <t>Pago de Proveedores</t>
  </si>
  <si>
    <t>Elaborar facturas de pago a proveedores administrativos.</t>
  </si>
  <si>
    <t>Distribución de monto entre centros de costo, escaneo, archivo. Ingreso de facturas. Ult. 6 meses: 50+47+50+41+46+45=&gt;46.5.</t>
  </si>
  <si>
    <r>
      <rPr>
        <rFont val="Calibri"/>
        <b/>
        <color rgb="FF0000FF"/>
        <sz val="9.0"/>
      </rPr>
      <t xml:space="preserve">Actividad Semanal.
</t>
    </r>
    <r>
      <rPr>
        <rFont val="Calibri Light"/>
        <b val="0"/>
        <color rgb="FF0000FF"/>
        <sz val="9.0"/>
      </rPr>
      <t>Se divide el promedio mensual entre 4.3, las semanas al mes.</t>
    </r>
  </si>
  <si>
    <t>Levantamiento de Prenda</t>
  </si>
  <si>
    <t>Filtrar concesionarios a cargo de la BD de Levantamiento de Prenda.</t>
  </si>
  <si>
    <t>Revisa linea por linea y borra los concesionarios que no le corresponden.</t>
  </si>
  <si>
    <r>
      <rPr>
        <rFont val="Calibri Light"/>
        <b/>
        <color rgb="FF0000FF"/>
        <sz val="9.0"/>
      </rPr>
      <t>Actividad Quincenal.</t>
    </r>
    <r>
      <rPr>
        <rFont val="Calibri Light"/>
        <color rgb="FF0000FF"/>
        <sz val="9.0"/>
      </rPr>
      <t xml:space="preserve">
Tiene oportunidad de automatización.</t>
    </r>
  </si>
  <si>
    <t>Desembolso Directo</t>
  </si>
  <si>
    <t>Archivar Garantías de Distribuidores.</t>
  </si>
  <si>
    <t>Se reciben 1,100 garantías en promedio al mes (550 por quicena en promedio), las cuales son repartida entre 3 personas (550/3=183 por quicena). Se archivan en el Cuarto de Garantías. Cada garantías debe ir con su expediente correspondiente a cada cliente.</t>
  </si>
  <si>
    <r>
      <rPr>
        <rFont val="Calibri Light"/>
        <b/>
        <color rgb="FF0000FF"/>
        <sz val="9.0"/>
      </rPr>
      <t>Actividad Quincenal.</t>
    </r>
    <r>
      <rPr>
        <rFont val="Calibri Light"/>
        <color rgb="FF0000FF"/>
        <sz val="9.0"/>
      </rPr>
      <t xml:space="preserve">
Cada uno de los 183 archivados toma 3 min.</t>
    </r>
  </si>
  <si>
    <t>Reuniones</t>
  </si>
  <si>
    <t>Se tratan temas generales del área con todo el equipo donde se debate. Tiene agenda y se cumple el tiempo.</t>
  </si>
  <si>
    <t>Actividad Mensual.</t>
  </si>
  <si>
    <t>Elaborar tablero de Levantamiento de Prenda.</t>
  </si>
  <si>
    <t>Permite realizar el seguimiento de los documentos pendientes o con inconsistencias de la revisión de la compra. Lo genera desde la información enviada por la Gerencia de Administración.</t>
  </si>
  <si>
    <t>Gestión de Garantías</t>
  </si>
  <si>
    <t>Elaborar informe general del área.</t>
  </si>
  <si>
    <t>Dirigido a la Gerencia General se realiza de  forma mensual e incluye el tablero de levantamientos de prenda, tablero de distribuidores, concesionarios, renting total y novedades. Se realiza en 2 tardes.</t>
  </si>
  <si>
    <r>
      <rPr>
        <rFont val="Calibri Light"/>
        <b/>
        <color rgb="FF0000FF"/>
        <sz val="9.0"/>
      </rPr>
      <t xml:space="preserve">Actividad Mensual.
</t>
    </r>
    <r>
      <rPr>
        <rFont val="Calibri Light"/>
        <color rgb="FF0000FF"/>
        <sz val="9.0"/>
      </rPr>
      <t>Se coloca el nombre del área como proceso al ser transversal.</t>
    </r>
  </si>
  <si>
    <t>Retroalimentación de clima laboral.</t>
  </si>
  <si>
    <t>Retroalimentación individual de clima laboral y evaluación de desempeño para un equipo de 10 personas a cargo. Cada una toma 120 minutos (120*10 = 1200). Se realiza cada 6 meses.</t>
  </si>
  <si>
    <r>
      <rPr>
        <rFont val="Calibri Light"/>
        <b/>
        <color rgb="FF0000FF"/>
        <sz val="9.0"/>
      </rPr>
      <t xml:space="preserve">Actividad Semestral.
</t>
    </r>
    <r>
      <rPr>
        <rFont val="Calibri Light"/>
        <color rgb="FF0000FF"/>
        <sz val="9.0"/>
      </rPr>
      <t>Se coloca 2 en el campo anual.</t>
    </r>
  </si>
  <si>
    <t>Plan Estratégico</t>
  </si>
  <si>
    <t>Elaborar plan estratégico anual del área.</t>
  </si>
  <si>
    <t>Define con el equipo de trabajo los objetivos y estrategia para los procesos del área durante el transcurso del año.</t>
  </si>
  <si>
    <t>Actividad Anual.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</si>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</sst>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.0_ ;_ * \-#,##0.0_ ;_ * &quot;-&quot;??_ ;_ @_ "/>
    <numFmt numFmtId="165" formatCode="_-* #,##0.00_-;\-* #,##0.00_-;_-* &quot;-&quot;??_-;_-@"/>
    <numFmt numFmtId="166" formatCode="0.0"/>
  </numFmts>
  <fonts count="22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FF"/>
      <name val="Calibri"/>
    </font>
    <font>
      <b/>
      <u/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sz val="11.0"/>
      <color rgb="FF0000FF"/>
      <name val="Calibri"/>
    </font>
    <font>
      <u/>
      <sz val="11.0"/>
      <color theme="10"/>
      <name val="Calibri"/>
    </font>
    <font>
      <sz val="10.0"/>
      <color theme="1"/>
      <name val="Calibri"/>
    </font>
    <font>
      <b/>
      <sz val="10.0"/>
      <color theme="1"/>
      <name val="Calibri"/>
    </font>
    <font/>
    <font>
      <sz val="10.0"/>
      <color theme="0"/>
      <name val="Calibri"/>
    </font>
    <font>
      <sz val="10.0"/>
      <color rgb="FFD8D8D8"/>
      <name val="Calibri"/>
    </font>
    <font>
      <b/>
      <sz val="10.0"/>
      <color rgb="FFFFFFFF"/>
      <name val="Calibri"/>
    </font>
    <font>
      <b/>
      <sz val="10.0"/>
      <color theme="0"/>
      <name val="Calibri"/>
    </font>
    <font>
      <b/>
      <sz val="9.0"/>
      <color rgb="FF0000FF"/>
      <name val="Calibri"/>
    </font>
    <font>
      <sz val="9.0"/>
      <color rgb="FF0000FF"/>
      <name val="Calibri"/>
    </font>
    <font>
      <sz val="10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8A75"/>
        <bgColor rgb="FF008A75"/>
      </patternFill>
    </fill>
    <fill>
      <patternFill patternType="solid">
        <fgColor rgb="FFD8D8D8"/>
        <bgColor rgb="FFD8D8D8"/>
      </patternFill>
    </fill>
    <fill>
      <patternFill patternType="solid">
        <fgColor rgb="FF00BF6F"/>
        <bgColor rgb="FF00BF6F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4">
    <border/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hair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medium">
        <color rgb="FF000000"/>
      </left>
      <right/>
      <top style="hair">
        <color rgb="FF808080"/>
      </top>
      <bottom style="hair">
        <color rgb="FF808080"/>
      </bottom>
    </border>
    <border>
      <left/>
      <right style="medium">
        <color rgb="FF000000"/>
      </right>
      <top style="hair">
        <color rgb="FF808080"/>
      </top>
      <bottom style="hair">
        <color rgb="FF808080"/>
      </bottom>
    </border>
    <border>
      <left style="medium">
        <color rgb="FF000000"/>
      </left>
      <right style="medium">
        <color rgb="FF000000"/>
      </right>
      <top style="hair">
        <color rgb="FF808080"/>
      </top>
      <bottom style="hair">
        <color rgb="FF80808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/>
      <bottom style="hair">
        <color rgb="FF808080"/>
      </bottom>
    </border>
    <border>
      <left style="medium">
        <color rgb="FF000000"/>
      </left>
      <top style="hair">
        <color rgb="FF808080"/>
      </top>
      <bottom style="hair">
        <color rgb="FF808080"/>
      </bottom>
    </border>
    <border>
      <right style="medium">
        <color rgb="FF000000"/>
      </right>
      <top style="hair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/>
      <bottom style="hair">
        <color rgb="FF808080"/>
      </bottom>
    </border>
    <border>
      <left style="hair">
        <color rgb="FF808080"/>
      </left>
      <right style="hair">
        <color rgb="FF808080"/>
      </right>
      <bottom style="hair">
        <color rgb="FF808080"/>
      </bottom>
    </border>
    <border>
      <right style="medium">
        <color rgb="FF000000"/>
      </right>
      <bottom style="hair">
        <color rgb="FF808080"/>
      </bottom>
    </border>
    <border>
      <left style="medium">
        <color rgb="FF000000"/>
      </left>
      <right style="medium">
        <color rgb="FF000000"/>
      </right>
      <bottom style="hair">
        <color rgb="FF808080"/>
      </bottom>
    </border>
    <border>
      <left style="medium">
        <color rgb="FF000000"/>
      </left>
    </border>
    <border>
      <left style="hair">
        <color rgb="FF808080"/>
      </left>
      <right style="hair">
        <color rgb="FF808080"/>
      </right>
      <top style="hair">
        <color rgb="FF808080"/>
      </top>
      <bottom/>
    </border>
    <border>
      <left style="medium">
        <color rgb="FF000000"/>
      </left>
      <top style="hair">
        <color rgb="FF808080"/>
      </top>
    </border>
    <border>
      <left style="hair">
        <color rgb="FF808080"/>
      </left>
      <right style="hair">
        <color rgb="FF808080"/>
      </right>
      <top style="hair">
        <color rgb="FF808080"/>
      </top>
    </border>
    <border>
      <right style="medium">
        <color rgb="FF000000"/>
      </right>
      <top style="hair">
        <color rgb="FF808080"/>
      </top>
    </border>
    <border>
      <left style="medium">
        <color rgb="FF000000"/>
      </left>
      <right/>
      <top style="hair">
        <color rgb="FF808080"/>
      </top>
      <bottom/>
    </border>
    <border>
      <left/>
      <right style="medium">
        <color rgb="FF000000"/>
      </right>
      <top style="hair">
        <color rgb="FF808080"/>
      </top>
      <bottom/>
    </border>
    <border>
      <left style="medium">
        <color rgb="FF000000"/>
      </left>
      <right style="medium">
        <color rgb="FF000000"/>
      </right>
      <top style="hair">
        <color rgb="FF808080"/>
      </top>
      <bottom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vertical="center"/>
    </xf>
    <xf borderId="0" fillId="0" fontId="7" numFmtId="0" xfId="0" applyAlignment="1" applyFont="1">
      <alignment vertical="center"/>
    </xf>
    <xf borderId="1" fillId="2" fontId="8" numFmtId="0" xfId="0" applyAlignment="1" applyBorder="1" applyFill="1" applyFont="1">
      <alignment vertical="center"/>
    </xf>
    <xf borderId="1" fillId="2" fontId="9" numFmtId="0" xfId="0" applyAlignment="1" applyBorder="1" applyFont="1">
      <alignment vertical="center"/>
    </xf>
    <xf borderId="2" fillId="2" fontId="9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3" fontId="9" numFmtId="0" xfId="0" applyAlignment="1" applyBorder="1" applyFill="1" applyFont="1">
      <alignment vertical="center"/>
    </xf>
    <xf borderId="2" fillId="3" fontId="9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6" fillId="3" fontId="9" numFmtId="0" xfId="0" applyAlignment="1" applyBorder="1" applyFont="1">
      <alignment vertical="center"/>
    </xf>
    <xf borderId="7" fillId="3" fontId="9" numFmtId="0" xfId="0" applyAlignment="1" applyBorder="1" applyFont="1">
      <alignment vertical="center"/>
    </xf>
    <xf borderId="8" fillId="3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6" numFmtId="0" xfId="0" applyAlignment="1" applyFont="1">
      <alignment vertical="center"/>
    </xf>
    <xf borderId="9" fillId="3" fontId="9" numFmtId="0" xfId="0" applyAlignment="1" applyBorder="1" applyFont="1">
      <alignment vertical="center"/>
    </xf>
    <xf borderId="10" fillId="3" fontId="9" numFmtId="0" xfId="0" applyAlignment="1" applyBorder="1" applyFont="1">
      <alignment vertical="center"/>
    </xf>
    <xf borderId="11" fillId="3" fontId="9" numFmtId="0" xfId="0" applyAlignment="1" applyBorder="1" applyFont="1">
      <alignment vertical="center"/>
    </xf>
    <xf borderId="12" fillId="3" fontId="9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right"/>
    </xf>
    <xf borderId="13" fillId="4" fontId="13" numFmtId="0" xfId="0" applyAlignment="1" applyBorder="1" applyFill="1" applyFont="1">
      <alignment vertical="center"/>
    </xf>
    <xf borderId="0" fillId="0" fontId="13" numFmtId="0" xfId="0" applyFont="1"/>
    <xf borderId="14" fillId="4" fontId="12" numFmtId="14" xfId="0" applyAlignment="1" applyBorder="1" applyFont="1" applyNumberFormat="1">
      <alignment horizontal="center"/>
    </xf>
    <xf borderId="15" fillId="0" fontId="14" numFmtId="0" xfId="0" applyBorder="1" applyFont="1"/>
    <xf borderId="0" fillId="0" fontId="12" numFmtId="0" xfId="0" applyAlignment="1" applyFont="1">
      <alignment horizontal="center"/>
    </xf>
    <xf borderId="0" fillId="0" fontId="15" numFmtId="0" xfId="0" applyFont="1"/>
    <xf borderId="0" fillId="0" fontId="16" numFmtId="164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5" numFmtId="0" xfId="0" applyAlignment="1" applyFont="1">
      <alignment vertical="center"/>
    </xf>
    <xf borderId="16" fillId="3" fontId="17" numFmtId="1" xfId="0" applyAlignment="1" applyBorder="1" applyFont="1" applyNumberFormat="1">
      <alignment horizontal="center" readingOrder="0" shrinkToFit="0" vertical="center" wrapText="1"/>
    </xf>
    <xf borderId="17" fillId="3" fontId="18" numFmtId="1" xfId="0" applyAlignment="1" applyBorder="1" applyFont="1" applyNumberFormat="1">
      <alignment shrinkToFit="0" vertical="center" wrapText="1"/>
    </xf>
    <xf borderId="18" fillId="3" fontId="18" numFmtId="1" xfId="0" applyAlignment="1" applyBorder="1" applyFont="1" applyNumberFormat="1">
      <alignment horizontal="center" shrinkToFit="0" vertical="center" wrapText="1"/>
    </xf>
    <xf borderId="17" fillId="3" fontId="18" numFmtId="1" xfId="0" applyAlignment="1" applyBorder="1" applyFont="1" applyNumberFormat="1">
      <alignment horizontal="center" shrinkToFit="0" vertical="center" wrapText="1"/>
    </xf>
    <xf borderId="19" fillId="3" fontId="18" numFmtId="1" xfId="0" applyAlignment="1" applyBorder="1" applyFont="1" applyNumberFormat="1">
      <alignment horizontal="center" shrinkToFit="0" vertical="center" wrapText="1"/>
    </xf>
    <xf borderId="18" fillId="3" fontId="18" numFmtId="2" xfId="0" applyAlignment="1" applyBorder="1" applyFont="1" applyNumberFormat="1">
      <alignment horizontal="center" shrinkToFit="0" vertical="center" wrapText="1"/>
    </xf>
    <xf borderId="17" fillId="3" fontId="18" numFmtId="2" xfId="0" applyAlignment="1" applyBorder="1" applyFont="1" applyNumberFormat="1">
      <alignment horizontal="center" shrinkToFit="0" vertical="center" wrapText="1"/>
    </xf>
    <xf borderId="19" fillId="3" fontId="18" numFmtId="2" xfId="0" applyAlignment="1" applyBorder="1" applyFont="1" applyNumberFormat="1">
      <alignment horizontal="center" shrinkToFit="0" vertical="center" wrapText="1"/>
    </xf>
    <xf borderId="20" fillId="3" fontId="18" numFmtId="2" xfId="0" applyAlignment="1" applyBorder="1" applyFont="1" applyNumberFormat="1">
      <alignment horizontal="center" shrinkToFit="0" vertical="center" wrapText="1"/>
    </xf>
    <xf borderId="20" fillId="3" fontId="18" numFmtId="2" xfId="0" applyAlignment="1" applyBorder="1" applyFont="1" applyNumberFormat="1">
      <alignment horizontal="left" shrinkToFit="0" vertical="center" wrapText="1"/>
    </xf>
    <xf borderId="21" fillId="5" fontId="18" numFmtId="2" xfId="0" applyAlignment="1" applyBorder="1" applyFill="1" applyFont="1" applyNumberFormat="1">
      <alignment horizontal="center" shrinkToFit="0" vertical="center" wrapText="1"/>
    </xf>
    <xf borderId="22" fillId="5" fontId="18" numFmtId="0" xfId="0" applyAlignment="1" applyBorder="1" applyFont="1">
      <alignment horizontal="center" vertical="center"/>
    </xf>
    <xf borderId="6" fillId="6" fontId="18" numFmtId="164" xfId="0" applyAlignment="1" applyBorder="1" applyFill="1" applyFont="1" applyNumberFormat="1">
      <alignment horizontal="center" vertical="center"/>
    </xf>
    <xf borderId="7" fillId="6" fontId="18" numFmtId="0" xfId="0" applyAlignment="1" applyBorder="1" applyFont="1">
      <alignment horizontal="center" vertical="center"/>
    </xf>
    <xf borderId="8" fillId="7" fontId="18" numFmtId="0" xfId="0" applyAlignment="1" applyBorder="1" applyFill="1" applyFont="1">
      <alignment horizontal="center" vertical="center"/>
    </xf>
    <xf borderId="23" fillId="0" fontId="12" numFmtId="1" xfId="0" applyAlignment="1" applyBorder="1" applyFont="1" applyNumberFormat="1">
      <alignment horizontal="center" shrinkToFit="0" vertical="center" wrapText="1"/>
    </xf>
    <xf borderId="24" fillId="8" fontId="12" numFmtId="1" xfId="0" applyAlignment="1" applyBorder="1" applyFill="1" applyFont="1" applyNumberFormat="1">
      <alignment shrinkToFit="0" vertical="center" wrapText="1"/>
    </xf>
    <xf borderId="25" fillId="8" fontId="12" numFmtId="1" xfId="0" applyAlignment="1" applyBorder="1" applyFont="1" applyNumberFormat="1">
      <alignment horizontal="center" shrinkToFit="0" vertical="center" wrapText="1"/>
    </xf>
    <xf borderId="24" fillId="8" fontId="12" numFmtId="1" xfId="0" applyAlignment="1" applyBorder="1" applyFont="1" applyNumberFormat="1">
      <alignment horizontal="center" shrinkToFit="0" vertical="center" wrapText="1"/>
    </xf>
    <xf borderId="26" fillId="8" fontId="12" numFmtId="1" xfId="0" applyAlignment="1" applyBorder="1" applyFont="1" applyNumberFormat="1">
      <alignment horizontal="center" readingOrder="0" shrinkToFit="0" vertical="center" wrapText="1"/>
    </xf>
    <xf borderId="25" fillId="8" fontId="12" numFmtId="0" xfId="0" applyAlignment="1" applyBorder="1" applyFont="1">
      <alignment horizontal="center" shrinkToFit="0" vertical="center" wrapText="1"/>
    </xf>
    <xf borderId="24" fillId="8" fontId="12" numFmtId="0" xfId="0" applyAlignment="1" applyBorder="1" applyFont="1">
      <alignment horizontal="center" shrinkToFit="0" vertical="center" wrapText="1"/>
    </xf>
    <xf borderId="26" fillId="8" fontId="12" numFmtId="0" xfId="0" applyAlignment="1" applyBorder="1" applyFont="1">
      <alignment horizontal="center" shrinkToFit="0" vertical="center" wrapText="1"/>
    </xf>
    <xf borderId="27" fillId="8" fontId="12" numFmtId="164" xfId="0" applyAlignment="1" applyBorder="1" applyFont="1" applyNumberFormat="1">
      <alignment horizontal="center" shrinkToFit="0" vertical="center" wrapText="1"/>
    </xf>
    <xf borderId="28" fillId="8" fontId="12" numFmtId="1" xfId="0" applyAlignment="1" applyBorder="1" applyFont="1" applyNumberFormat="1">
      <alignment shrinkToFit="0" vertical="center" wrapText="1"/>
    </xf>
    <xf borderId="29" fillId="8" fontId="19" numFmtId="1" xfId="0" applyAlignment="1" applyBorder="1" applyFont="1" applyNumberFormat="1">
      <alignment shrinkToFit="0" vertical="center" wrapText="1"/>
    </xf>
    <xf borderId="29" fillId="8" fontId="12" numFmtId="1" xfId="0" applyAlignment="1" applyBorder="1" applyFont="1" applyNumberFormat="1">
      <alignment horizontal="center" shrinkToFit="0" vertical="center" wrapText="1"/>
    </xf>
    <xf borderId="30" fillId="8" fontId="12" numFmtId="164" xfId="0" applyAlignment="1" applyBorder="1" applyFont="1" applyNumberFormat="1">
      <alignment shrinkToFit="0" vertical="center" wrapText="1"/>
    </xf>
    <xf borderId="31" fillId="0" fontId="15" numFmtId="0" xfId="0" applyAlignment="1" applyBorder="1" applyFont="1">
      <alignment horizontal="center" shrinkToFit="0" vertical="center" wrapText="1"/>
    </xf>
    <xf borderId="32" fillId="8" fontId="12" numFmtId="164" xfId="0" applyAlignment="1" applyBorder="1" applyFont="1" applyNumberFormat="1">
      <alignment shrinkToFit="0" vertical="center" wrapText="1"/>
    </xf>
    <xf borderId="0" fillId="0" fontId="12" numFmtId="165" xfId="0" applyAlignment="1" applyFont="1" applyNumberFormat="1">
      <alignment vertical="center"/>
    </xf>
    <xf borderId="5" fillId="0" fontId="12" numFmtId="165" xfId="0" applyAlignment="1" applyBorder="1" applyFont="1" applyNumberFormat="1">
      <alignment vertical="center"/>
    </xf>
    <xf borderId="26" fillId="8" fontId="12" numFmtId="1" xfId="0" applyAlignment="1" applyBorder="1" applyFont="1" applyNumberFormat="1">
      <alignment horizontal="center" shrinkToFit="0" vertical="center" wrapText="1"/>
    </xf>
    <xf borderId="33" fillId="8" fontId="12" numFmtId="1" xfId="0" applyAlignment="1" applyBorder="1" applyFont="1" applyNumberFormat="1">
      <alignment shrinkToFit="0" vertical="center" wrapText="1"/>
    </xf>
    <xf borderId="34" fillId="8" fontId="19" numFmtId="1" xfId="0" applyAlignment="1" applyBorder="1" applyFont="1" applyNumberFormat="1">
      <alignment shrinkToFit="0" vertical="center" wrapText="1"/>
    </xf>
    <xf borderId="34" fillId="8" fontId="12" numFmtId="1" xfId="0" applyAlignment="1" applyBorder="1" applyFont="1" applyNumberFormat="1">
      <alignment horizontal="center" shrinkToFit="0" vertical="center" wrapText="1"/>
    </xf>
    <xf borderId="35" fillId="8" fontId="12" numFmtId="164" xfId="0" applyAlignment="1" applyBorder="1" applyFont="1" applyNumberFormat="1">
      <alignment shrinkToFit="0" vertical="center" wrapText="1"/>
    </xf>
    <xf borderId="36" fillId="9" fontId="12" numFmtId="1" xfId="0" applyAlignment="1" applyBorder="1" applyFill="1" applyFont="1" applyNumberFormat="1">
      <alignment horizontal="center" shrinkToFit="0" vertical="center" wrapText="1"/>
    </xf>
    <xf borderId="24" fillId="9" fontId="13" numFmtId="1" xfId="0" applyAlignment="1" applyBorder="1" applyFont="1" applyNumberFormat="1">
      <alignment shrinkToFit="0" vertical="center" wrapText="1"/>
    </xf>
    <xf borderId="24" fillId="9" fontId="12" numFmtId="1" xfId="0" applyAlignment="1" applyBorder="1" applyFont="1" applyNumberFormat="1">
      <alignment shrinkToFit="0" vertical="center" wrapText="1"/>
    </xf>
    <xf borderId="25" fillId="9" fontId="12" numFmtId="1" xfId="0" applyAlignment="1" applyBorder="1" applyFont="1" applyNumberFormat="1">
      <alignment horizontal="center" shrinkToFit="0" vertical="center" wrapText="1"/>
    </xf>
    <xf borderId="24" fillId="9" fontId="12" numFmtId="1" xfId="0" applyAlignment="1" applyBorder="1" applyFont="1" applyNumberFormat="1">
      <alignment horizontal="center" shrinkToFit="0" vertical="center" wrapText="1"/>
    </xf>
    <xf borderId="26" fillId="9" fontId="12" numFmtId="1" xfId="0" applyAlignment="1" applyBorder="1" applyFont="1" applyNumberFormat="1">
      <alignment horizontal="center" shrinkToFit="0" vertical="center" wrapText="1"/>
    </xf>
    <xf borderId="25" fillId="9" fontId="12" numFmtId="0" xfId="0" applyAlignment="1" applyBorder="1" applyFont="1">
      <alignment horizontal="center" shrinkToFit="0" vertical="center" wrapText="1"/>
    </xf>
    <xf borderId="24" fillId="9" fontId="12" numFmtId="0" xfId="0" applyAlignment="1" applyBorder="1" applyFont="1">
      <alignment horizontal="center" shrinkToFit="0" vertical="center" wrapText="1"/>
    </xf>
    <xf borderId="26" fillId="9" fontId="12" numFmtId="0" xfId="0" applyAlignment="1" applyBorder="1" applyFont="1">
      <alignment horizontal="center" shrinkToFit="0" vertical="center" wrapText="1"/>
    </xf>
    <xf borderId="27" fillId="9" fontId="12" numFmtId="164" xfId="0" applyAlignment="1" applyBorder="1" applyFont="1" applyNumberFormat="1">
      <alignment horizontal="center" shrinkToFit="0" vertical="center" wrapText="1"/>
    </xf>
    <xf borderId="33" fillId="9" fontId="12" numFmtId="1" xfId="0" applyAlignment="1" applyBorder="1" applyFont="1" applyNumberFormat="1">
      <alignment shrinkToFit="0" vertical="center" wrapText="1"/>
    </xf>
    <xf borderId="34" fillId="9" fontId="19" numFmtId="1" xfId="0" applyAlignment="1" applyBorder="1" applyFont="1" applyNumberFormat="1">
      <alignment shrinkToFit="0" vertical="center" wrapText="1"/>
    </xf>
    <xf borderId="24" fillId="0" fontId="12" numFmtId="1" xfId="0" applyAlignment="1" applyBorder="1" applyFont="1" applyNumberFormat="1">
      <alignment horizontal="left" shrinkToFit="0" vertical="center" wrapText="1"/>
    </xf>
    <xf borderId="37" fillId="0" fontId="12" numFmtId="1" xfId="0" applyAlignment="1" applyBorder="1" applyFont="1" applyNumberFormat="1">
      <alignment horizontal="center" shrinkToFit="0" vertical="center" wrapText="1"/>
    </xf>
    <xf borderId="24" fillId="0" fontId="12" numFmtId="1" xfId="0" applyAlignment="1" applyBorder="1" applyFont="1" applyNumberFormat="1">
      <alignment horizontal="center" shrinkToFit="0" vertical="center" wrapText="1"/>
    </xf>
    <xf borderId="38" fillId="0" fontId="12" numFmtId="1" xfId="0" applyAlignment="1" applyBorder="1" applyFont="1" applyNumberFormat="1">
      <alignment horizontal="center" shrinkToFit="0" vertical="center" wrapText="1"/>
    </xf>
    <xf borderId="25" fillId="8" fontId="12" numFmtId="166" xfId="0" applyAlignment="1" applyBorder="1" applyFont="1" applyNumberFormat="1">
      <alignment horizontal="center" shrinkToFit="0" vertical="center" wrapText="1"/>
    </xf>
    <xf borderId="39" fillId="8" fontId="12" numFmtId="1" xfId="0" applyAlignment="1" applyBorder="1" applyFont="1" applyNumberFormat="1">
      <alignment horizontal="left" shrinkToFit="0" vertical="center" wrapText="1"/>
    </xf>
    <xf borderId="40" fillId="0" fontId="12" numFmtId="1" xfId="0" applyAlignment="1" applyBorder="1" applyFont="1" applyNumberFormat="1">
      <alignment horizontal="center" shrinkToFit="0" vertical="center" wrapText="1"/>
    </xf>
    <xf borderId="41" fillId="0" fontId="12" numFmtId="1" xfId="0" applyAlignment="1" applyBorder="1" applyFont="1" applyNumberFormat="1">
      <alignment horizontal="center" shrinkToFit="0" vertical="center" wrapText="1"/>
    </xf>
    <xf borderId="23" fillId="0" fontId="12" numFmtId="0" xfId="0" applyAlignment="1" applyBorder="1" applyFont="1">
      <alignment horizontal="center" shrinkToFit="0" vertical="center" wrapText="1"/>
    </xf>
    <xf borderId="40" fillId="0" fontId="12" numFmtId="0" xfId="0" applyAlignment="1" applyBorder="1" applyFont="1">
      <alignment horizontal="center" shrinkToFit="0" vertical="center" wrapText="1"/>
    </xf>
    <xf borderId="41" fillId="0" fontId="12" numFmtId="0" xfId="0" applyAlignment="1" applyBorder="1" applyFont="1">
      <alignment horizontal="center" shrinkToFit="0" vertical="center" wrapText="1"/>
    </xf>
    <xf borderId="42" fillId="0" fontId="12" numFmtId="164" xfId="0" applyAlignment="1" applyBorder="1" applyFont="1" applyNumberFormat="1">
      <alignment horizontal="center" shrinkToFit="0" vertical="center" wrapText="1"/>
    </xf>
    <xf borderId="33" fillId="8" fontId="12" numFmtId="1" xfId="0" applyAlignment="1" applyBorder="1" applyFont="1" applyNumberFormat="1">
      <alignment horizontal="left" shrinkToFit="0" vertical="center" wrapText="1"/>
    </xf>
    <xf borderId="34" fillId="8" fontId="20" numFmtId="1" xfId="0" applyAlignment="1" applyBorder="1" applyFont="1" applyNumberFormat="1">
      <alignment shrinkToFit="0" vertical="center" wrapText="1"/>
    </xf>
    <xf borderId="24" fillId="8" fontId="12" numFmtId="1" xfId="0" applyAlignment="1" applyBorder="1" applyFont="1" applyNumberFormat="1">
      <alignment horizontal="left" shrinkToFit="0" vertical="center" wrapText="1"/>
    </xf>
    <xf borderId="34" fillId="8" fontId="21" numFmtId="1" xfId="0" applyAlignment="1" applyBorder="1" applyFont="1" applyNumberFormat="1">
      <alignment shrinkToFit="0" vertical="center" wrapText="1"/>
    </xf>
    <xf borderId="26" fillId="8" fontId="12" numFmtId="0" xfId="0" applyAlignment="1" applyBorder="1" applyFont="1">
      <alignment horizontal="center" vertical="center"/>
    </xf>
    <xf borderId="43" fillId="0" fontId="12" numFmtId="1" xfId="0" applyAlignment="1" applyBorder="1" applyFont="1" applyNumberFormat="1">
      <alignment horizontal="center" shrinkToFit="0" vertical="center" wrapText="1"/>
    </xf>
    <xf borderId="44" fillId="8" fontId="12" numFmtId="1" xfId="0" applyAlignment="1" applyBorder="1" applyFont="1" applyNumberFormat="1">
      <alignment shrinkToFit="0" vertical="center" wrapText="1"/>
    </xf>
    <xf borderId="45" fillId="0" fontId="12" numFmtId="1" xfId="0" applyAlignment="1" applyBorder="1" applyFont="1" applyNumberFormat="1">
      <alignment horizontal="center" shrinkToFit="0" vertical="center" wrapText="1"/>
    </xf>
    <xf borderId="46" fillId="0" fontId="12" numFmtId="1" xfId="0" applyAlignment="1" applyBorder="1" applyFont="1" applyNumberFormat="1">
      <alignment horizontal="center" shrinkToFit="0" vertical="center" wrapText="1"/>
    </xf>
    <xf borderId="47" fillId="0" fontId="12" numFmtId="1" xfId="0" applyAlignment="1" applyBorder="1" applyFont="1" applyNumberFormat="1">
      <alignment horizontal="center" shrinkToFit="0" vertical="center" wrapText="1"/>
    </xf>
    <xf borderId="48" fillId="8" fontId="12" numFmtId="0" xfId="0" applyAlignment="1" applyBorder="1" applyFont="1">
      <alignment horizontal="center" shrinkToFit="0" vertical="center" wrapText="1"/>
    </xf>
    <xf borderId="44" fillId="8" fontId="12" numFmtId="0" xfId="0" applyAlignment="1" applyBorder="1" applyFont="1">
      <alignment horizontal="center" shrinkToFit="0" vertical="center" wrapText="1"/>
    </xf>
    <xf borderId="49" fillId="8" fontId="12" numFmtId="0" xfId="0" applyAlignment="1" applyBorder="1" applyFont="1">
      <alignment horizontal="center" shrinkToFit="0" vertical="center" wrapText="1"/>
    </xf>
    <xf borderId="50" fillId="8" fontId="12" numFmtId="164" xfId="0" applyAlignment="1" applyBorder="1" applyFont="1" applyNumberFormat="1">
      <alignment horizontal="center" shrinkToFit="0" vertical="center" wrapText="1"/>
    </xf>
    <xf borderId="51" fillId="8" fontId="12" numFmtId="1" xfId="0" applyAlignment="1" applyBorder="1" applyFont="1" applyNumberFormat="1">
      <alignment shrinkToFit="0" vertical="center" wrapText="1"/>
    </xf>
    <xf borderId="52" fillId="8" fontId="21" numFmtId="1" xfId="0" applyAlignment="1" applyBorder="1" applyFont="1" applyNumberFormat="1">
      <alignment shrinkToFit="0" vertical="center" wrapText="1"/>
    </xf>
    <xf borderId="52" fillId="8" fontId="12" numFmtId="1" xfId="0" applyAlignment="1" applyBorder="1" applyFont="1" applyNumberFormat="1">
      <alignment horizontal="center" shrinkToFit="0" vertical="center" wrapText="1"/>
    </xf>
    <xf borderId="53" fillId="8" fontId="12" numFmtId="164" xfId="0" applyAlignment="1" applyBorder="1" applyFont="1" applyNumberFormat="1">
      <alignment shrinkToFit="0" vertical="center" wrapText="1"/>
    </xf>
    <xf borderId="54" fillId="0" fontId="15" numFmtId="0" xfId="0" applyAlignment="1" applyBorder="1" applyFont="1">
      <alignment horizontal="center" shrinkToFit="0" vertical="center" wrapText="1"/>
    </xf>
    <xf borderId="55" fillId="0" fontId="12" numFmtId="0" xfId="0" applyBorder="1" applyFont="1"/>
    <xf borderId="56" fillId="3" fontId="18" numFmtId="1" xfId="0" applyAlignment="1" applyBorder="1" applyFont="1" applyNumberFormat="1">
      <alignment horizontal="center" shrinkToFit="0" vertical="center" wrapText="1"/>
    </xf>
    <xf borderId="57" fillId="3" fontId="17" numFmtId="1" xfId="0" applyAlignment="1" applyBorder="1" applyFont="1" applyNumberFormat="1">
      <alignment horizontal="center" readingOrder="0" shrinkToFit="0" vertical="center" wrapText="1"/>
    </xf>
    <xf borderId="13" fillId="3" fontId="18" numFmtId="1" xfId="0" applyAlignment="1" applyBorder="1" applyFont="1" applyNumberFormat="1">
      <alignment shrinkToFit="0" vertical="center" wrapText="1"/>
    </xf>
    <xf borderId="57" fillId="3" fontId="18" numFmtId="1" xfId="0" applyAlignment="1" applyBorder="1" applyFont="1" applyNumberFormat="1">
      <alignment horizontal="center" shrinkToFit="0" vertical="center" wrapText="1"/>
    </xf>
    <xf borderId="58" fillId="3" fontId="18" numFmtId="1" xfId="0" applyAlignment="1" applyBorder="1" applyFont="1" applyNumberFormat="1">
      <alignment horizontal="center" shrinkToFit="0" vertical="center" wrapText="1"/>
    </xf>
    <xf borderId="59" fillId="3" fontId="18" numFmtId="1" xfId="0" applyAlignment="1" applyBorder="1" applyFont="1" applyNumberFormat="1">
      <alignment horizontal="center" shrinkToFit="0" vertical="center" wrapText="1"/>
    </xf>
    <xf borderId="60" fillId="3" fontId="18" numFmtId="2" xfId="0" applyAlignment="1" applyBorder="1" applyFont="1" applyNumberFormat="1">
      <alignment horizontal="center" shrinkToFit="0" vertical="center" wrapText="1"/>
    </xf>
    <xf borderId="58" fillId="3" fontId="18" numFmtId="2" xfId="0" applyAlignment="1" applyBorder="1" applyFont="1" applyNumberFormat="1">
      <alignment horizontal="center" shrinkToFit="0" vertical="center" wrapText="1"/>
    </xf>
    <xf borderId="59" fillId="3" fontId="18" numFmtId="2" xfId="0" applyAlignment="1" applyBorder="1" applyFont="1" applyNumberFormat="1">
      <alignment horizontal="center" shrinkToFit="0" vertical="center" wrapText="1"/>
    </xf>
    <xf borderId="61" fillId="3" fontId="18" numFmtId="2" xfId="0" applyAlignment="1" applyBorder="1" applyFont="1" applyNumberFormat="1">
      <alignment horizontal="center" shrinkToFit="0" vertical="center" wrapText="1"/>
    </xf>
    <xf borderId="61" fillId="3" fontId="18" numFmtId="2" xfId="0" applyAlignment="1" applyBorder="1" applyFont="1" applyNumberFormat="1">
      <alignment horizontal="left" shrinkToFit="0" vertical="center" wrapText="1"/>
    </xf>
    <xf borderId="13" fillId="0" fontId="12" numFmtId="1" xfId="0" applyAlignment="1" applyBorder="1" applyFont="1" applyNumberFormat="1">
      <alignment horizontal="center" shrinkToFit="0" vertical="center" wrapText="1"/>
    </xf>
    <xf borderId="13" fillId="0" fontId="12" numFmtId="1" xfId="0" applyAlignment="1" applyBorder="1" applyFont="1" applyNumberFormat="1">
      <alignment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0" fontId="12" numFmtId="164" xfId="0" applyAlignment="1" applyBorder="1" applyFont="1" applyNumberFormat="1">
      <alignment horizontal="center" shrinkToFit="0" vertical="center" wrapText="1"/>
    </xf>
    <xf borderId="13" fillId="0" fontId="21" numFmtId="1" xfId="0" applyAlignment="1" applyBorder="1" applyFont="1" applyNumberFormat="1">
      <alignment shrinkToFit="0" vertical="center" wrapText="1"/>
    </xf>
    <xf borderId="62" fillId="8" fontId="12" numFmtId="164" xfId="0" applyAlignment="1" applyBorder="1" applyFont="1" applyNumberFormat="1">
      <alignment shrinkToFit="0" vertical="center" wrapText="1"/>
    </xf>
    <xf borderId="63" fillId="8" fontId="12" numFmtId="164" xfId="0" applyAlignment="1" applyBorder="1" applyFont="1" applyNumberFormat="1">
      <alignment shrinkToFit="0" vertical="center" wrapText="1"/>
    </xf>
    <xf borderId="13" fillId="8" fontId="12" numFmtId="1" xfId="0" applyAlignment="1" applyBorder="1" applyFont="1" applyNumberFormat="1">
      <alignment shrinkToFit="0" vertical="center" wrapText="1"/>
    </xf>
    <xf borderId="13" fillId="8" fontId="12" numFmtId="0" xfId="0" applyAlignment="1" applyBorder="1" applyFont="1">
      <alignment horizontal="center" shrinkToFit="0" vertical="center" wrapText="1"/>
    </xf>
    <xf borderId="13" fillId="8" fontId="12" numFmtId="164" xfId="0" applyAlignment="1" applyBorder="1" applyFont="1" applyNumberFormat="1">
      <alignment horizontal="center" shrinkToFit="0" vertical="center" wrapText="1"/>
    </xf>
    <xf borderId="13" fillId="8" fontId="21" numFmtId="1" xfId="0" applyAlignment="1" applyBorder="1" applyFont="1" applyNumberFormat="1">
      <alignment shrinkToFit="0" vertical="center" wrapText="1"/>
    </xf>
    <xf borderId="13" fillId="8" fontId="12" numFmtId="1" xfId="0" applyAlignment="1" applyBorder="1" applyFont="1" applyNumberFormat="1">
      <alignment horizontal="center" shrinkToFit="0" vertical="center" wrapText="1"/>
    </xf>
    <xf borderId="13" fillId="0" fontId="12" numFmtId="1" xfId="0" applyAlignment="1" applyBorder="1" applyFont="1" applyNumberFormat="1">
      <alignment horizontal="left" shrinkToFit="0" vertical="center" wrapText="1"/>
    </xf>
    <xf borderId="13" fillId="8" fontId="12" numFmtId="166" xfId="0" applyAlignment="1" applyBorder="1" applyFont="1" applyNumberFormat="1">
      <alignment horizontal="center" shrinkToFit="0" vertical="center" wrapText="1"/>
    </xf>
    <xf borderId="13" fillId="8" fontId="12" numFmtId="1" xfId="0" applyAlignment="1" applyBorder="1" applyFont="1" applyNumberFormat="1">
      <alignment horizontal="left" shrinkToFit="0" vertical="center" wrapText="1"/>
    </xf>
    <xf borderId="13" fillId="8" fontId="12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180975" cy="180975"/>
    <xdr:sp>
      <xdr:nvSpPr>
        <xdr:cNvPr id="3" name="Shape 3"/>
        <xdr:cNvSpPr/>
      </xdr:nvSpPr>
      <xdr:spPr>
        <a:xfrm>
          <a:off x="5260275" y="3694275"/>
          <a:ext cx="171450" cy="171450"/>
        </a:xfrm>
        <a:prstGeom prst="star5">
          <a:avLst>
            <a:gd fmla="val 19098" name="adj"/>
            <a:gd fmla="val 105146" name="hf"/>
            <a:gd fmla="val 110557" name="vf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94</xdr:row>
      <xdr:rowOff>0</xdr:rowOff>
    </xdr:from>
    <xdr:ext cx="180975" cy="180975"/>
    <xdr:sp>
      <xdr:nvSpPr>
        <xdr:cNvPr id="4" name="Shape 4"/>
        <xdr:cNvSpPr/>
      </xdr:nvSpPr>
      <xdr:spPr>
        <a:xfrm>
          <a:off x="5260275" y="3694275"/>
          <a:ext cx="171450" cy="171450"/>
        </a:xfrm>
        <a:prstGeom prst="star5">
          <a:avLst>
            <a:gd fmla="val 19098" name="adj"/>
            <a:gd fmla="val 105146" name="hf"/>
            <a:gd fmla="val 110557" name="vf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58</xdr:row>
      <xdr:rowOff>0</xdr:rowOff>
    </xdr:from>
    <xdr:ext cx="180975" cy="180975"/>
    <xdr:sp>
      <xdr:nvSpPr>
        <xdr:cNvPr id="3" name="Shape 3"/>
        <xdr:cNvSpPr/>
      </xdr:nvSpPr>
      <xdr:spPr>
        <a:xfrm>
          <a:off x="5260275" y="3694275"/>
          <a:ext cx="171450" cy="171450"/>
        </a:xfrm>
        <a:prstGeom prst="star5">
          <a:avLst>
            <a:gd fmla="val 19098" name="adj"/>
            <a:gd fmla="val 105146" name="hf"/>
            <a:gd fmla="val 110557" name="vf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rlos Tasayco" id="{4beb1914-a6e9-4b99-91a6-3fa9482124f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6-14T14:38:06.00" personId="{4beb1914-a6e9-4b99-91a6-3fa9482124fd}" id="{d18cb82e-e036-48e3-b959-02cc1f560603}" done="0">
    <x18tc:text xml:space="preserve">Forma parte de un proceso.
Deben estar desagregadas y ser escritas en infinitivo.
Ejemplo: Realizar seguimiento…, Comprar…, Participar en reunión…, Recibir y revisar…, Elaborar informe,...</x18tc:text>
  </x18tc:threadedComment>
  <x18tc:threadedComment ref="C4" dT="2026-06-14T14:38:06.00" personId="{4beb1914-a6e9-4b99-91a6-3fa9482124fd}" id="{896f48db-a454-4e01-badb-23ca6f8c4092}" done="0">
    <x18tc:text xml:space="preserve">Proceso al que pertenece la actividad que realiza. Se sugiere manejar un mismo estándar con sus compañeros.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" dT="2026-06-14T14:38:06.00" personId="{4beb1914-a6e9-4b99-91a6-3fa9482124fd}" id="{ecfdeade-84de-4f1a-a449-013601bab867}" done="0">
    <x18tc:text xml:space="preserve">Campo exclusivo del equipo consultor. No llenar.</x18tc:text>
  </x18tc:threadedComment>
  <x18tc:threadedComment ref="F1" dT="2026-06-14T14:38:06.00" personId="{4beb1914-a6e9-4b99-91a6-3fa9482124fd}" id="{ccde42c1-f9a7-4ced-aa52-f8e3cf1d8bfc}" done="0">
    <x18tc:text xml:space="preserve">Proceso al que pertenece la actividad que realiza. Se sugiere manejar un mismo estándar con sus compañeros.</x18tc:text>
  </x18tc:threadedComment>
  <x18tc:threadedComment ref="V1" dT="2026-06-14T14:38:06.00" personId="{4beb1914-a6e9-4b99-91a6-3fa9482124fd}" id="{95b847c2-2743-4e21-ab39-2b975d036a46}" done="0">
    <x18tc:text xml:space="preserve">Rojo = Mal llenado.</x18tc:text>
  </x18tc:threadedComment>
  <x18tc:threadedComment ref="U1" dT="2026-06-14T14:38:06.00" personId="{4beb1914-a6e9-4b99-91a6-3fa9482124fd}" id="{fa046cf0-d3e1-489d-8836-b47da41f4e1a}" done="0">
    <x18tc:text xml:space="preserve">Campo formulado que muestra el cálculo de veces en que se realiza una actividad en promedio al mes (volumen de actividades mensual).</x18tc:text>
  </x18tc:threadedComment>
  <x18tc:threadedComment ref="G1" dT="2026-06-14T14:38:06.00" personId="{4beb1914-a6e9-4b99-91a6-3fa9482124fd}" id="{e957534b-59f1-4c0e-9ac9-277ba62379df}" done="0">
    <x18tc:text xml:space="preserve">Forma parte de un proceso.
Deben estar desagregadas y ser escritas en infinitivo.
Ejemplo: Realizar seguimiento…, Comprar…, Participar en reunión…, Recibir y revisar…, Elaborar informe,...</x18tc:text>
  </x18tc:threadedComment>
  <x18tc:threadedComment ref="R1" dT="2026-06-14T14:38:06.00" personId="{4beb1914-a6e9-4b99-91a6-3fa9482124fd}" id="{84901fea-5bee-4a25-857d-e991df25fab2}" done="0">
    <x18tc:text xml:space="preserve">Todo aquello que sirva para entender la actividad. 
Considerar que el equipo consultor no necesariamente está familiarizado con sus actividades.
Nota: La información contenida entre paréntesis sirve para esclarecer algunos cálculos y no es necesario que la coloque Ud. al escribir sus comentarios.</x18tc:text>
  </x18tc:threadedComment>
  <x18tc:threadedComment ref="T1" dT="2026-06-14T14:38:06.00" personId="{4beb1914-a6e9-4b99-91a6-3fa9482124fd}" id="{fab0c5bf-9502-4992-8c36-77654de8b519}" done="0">
    <x18tc:text xml:space="preserve">Oportunidad de optimización.
1. Colocar "A" si Ud. considera que esta actividad se puede mejorar con una automatización a nivel de sistemas o Excel.
2. Colocar "R" si Ud. considera que esta actividad se puede mejorar a nivel de reingeniería de procesos, es decir cambios en las actividades.</x18tc:text>
  </x18tc:threadedComment>
  <x18tc:threadedComment ref="Q1" dT="2026-06-14T14:38:06.00" personId="{4beb1914-a6e9-4b99-91a6-3fa9482124fd}" id="{54079ad4-5752-4f00-817c-638baf3ced22}" done="0">
    <x18tc:text xml:space="preserve">Es el tiempo promedio en Minutos de cada vez que se realiza una actividad.
Ejemplo:
Si cada vez que se realiza una actividad, se toma 2 minutos en promedio; se coloca 2. 
Es independiente a las veces que se realiza (no importa si es 1 vez al año, 220 veces por semana o 5 veces al día).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.tasayco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5" width="2.57"/>
    <col customWidth="1" min="26" max="26" width="42.57"/>
  </cols>
  <sheetData>
    <row r="1" ht="6.0" customHeight="1"/>
    <row r="2" ht="14.25" customHeight="1">
      <c r="B2" s="1" t="s">
        <v>0</v>
      </c>
    </row>
    <row r="3" ht="6.0" customHeight="1">
      <c r="B3" s="1"/>
    </row>
    <row r="4" ht="6.0" customHeight="1">
      <c r="B4" s="2"/>
    </row>
    <row r="5" ht="14.25" customHeight="1">
      <c r="B5" s="2" t="s">
        <v>1</v>
      </c>
    </row>
    <row r="6" ht="6.0" customHeight="1">
      <c r="B6" s="3"/>
    </row>
    <row r="7" ht="14.25" customHeight="1">
      <c r="C7" s="4" t="s">
        <v>2</v>
      </c>
    </row>
    <row r="8" ht="14.25" customHeight="1">
      <c r="C8" s="4" t="s">
        <v>3</v>
      </c>
    </row>
    <row r="9" ht="14.25" customHeight="1">
      <c r="C9" s="4" t="s">
        <v>4</v>
      </c>
    </row>
    <row r="10" ht="7.5" customHeight="1"/>
    <row r="11" ht="14.25" customHeight="1">
      <c r="C11" s="5" t="s">
        <v>5</v>
      </c>
    </row>
    <row r="12" ht="14.25" customHeight="1">
      <c r="C12" s="5" t="s">
        <v>6</v>
      </c>
    </row>
    <row r="13" ht="14.25" customHeight="1"/>
    <row r="14" ht="14.25" customHeight="1">
      <c r="B14" s="2" t="s">
        <v>7</v>
      </c>
      <c r="C14" s="2"/>
    </row>
    <row r="15" ht="14.25" customHeight="1">
      <c r="B15" s="2"/>
      <c r="C15" s="4" t="s">
        <v>8</v>
      </c>
    </row>
    <row r="16" ht="14.25" customHeight="1">
      <c r="B16" s="2"/>
      <c r="C16" s="4" t="s">
        <v>9</v>
      </c>
    </row>
    <row r="17" ht="7.5" customHeight="1"/>
    <row r="18" ht="14.25" customHeight="1">
      <c r="C18" s="6" t="s">
        <v>10</v>
      </c>
    </row>
    <row r="19" ht="7.5" customHeight="1"/>
    <row r="20" ht="14.25" customHeight="1">
      <c r="C20" s="4" t="s">
        <v>11</v>
      </c>
    </row>
    <row r="21" ht="14.25" customHeight="1">
      <c r="C21" s="4" t="s">
        <v>12</v>
      </c>
    </row>
    <row r="22" ht="14.25" customHeight="1">
      <c r="C22" s="2" t="s">
        <v>13</v>
      </c>
    </row>
    <row r="23" ht="14.25" customHeight="1"/>
    <row r="24" ht="14.25" customHeight="1">
      <c r="B24" s="2" t="s">
        <v>14</v>
      </c>
    </row>
    <row r="25" ht="6.0" customHeight="1"/>
    <row r="26" ht="14.25" customHeight="1">
      <c r="C26" s="4" t="s">
        <v>15</v>
      </c>
    </row>
    <row r="27" ht="14.25" customHeight="1"/>
    <row r="28" ht="14.25" customHeight="1">
      <c r="B28" s="7"/>
      <c r="C28" s="8" t="s">
        <v>16</v>
      </c>
      <c r="D28" s="7"/>
      <c r="E28" s="7"/>
      <c r="F28" s="7"/>
      <c r="G28" s="7"/>
      <c r="H28" s="7"/>
    </row>
    <row r="29" ht="7.5" customHeight="1"/>
    <row r="30" ht="14.25" customHeight="1">
      <c r="C30" s="9" t="s">
        <v>17</v>
      </c>
      <c r="D30" s="10"/>
      <c r="E30" s="10"/>
      <c r="F30" s="11"/>
      <c r="G30" s="12" t="s">
        <v>18</v>
      </c>
      <c r="H30" s="7"/>
    </row>
    <row r="31" ht="14.25" customHeight="1">
      <c r="C31" s="9" t="s">
        <v>19</v>
      </c>
      <c r="D31" s="10"/>
      <c r="E31" s="10"/>
      <c r="F31" s="11"/>
      <c r="G31" s="12" t="s">
        <v>20</v>
      </c>
      <c r="H31" s="7"/>
    </row>
    <row r="32" ht="14.25" customHeight="1">
      <c r="C32" s="9" t="s">
        <v>21</v>
      </c>
      <c r="D32" s="10"/>
      <c r="E32" s="10"/>
      <c r="F32" s="11"/>
      <c r="G32" s="12" t="s">
        <v>22</v>
      </c>
      <c r="H32" s="7"/>
    </row>
    <row r="33" ht="7.5" customHeight="1"/>
    <row r="34" ht="14.25" customHeight="1">
      <c r="C34" s="13" t="s">
        <v>23</v>
      </c>
      <c r="D34" s="13"/>
      <c r="E34" s="13"/>
      <c r="F34" s="14"/>
      <c r="G34" s="12" t="s">
        <v>24</v>
      </c>
      <c r="H34" s="7"/>
    </row>
    <row r="35" ht="14.25" customHeight="1">
      <c r="C35" s="13" t="s">
        <v>25</v>
      </c>
      <c r="D35" s="13"/>
      <c r="E35" s="13"/>
      <c r="F35" s="14"/>
      <c r="G35" s="7" t="s">
        <v>26</v>
      </c>
      <c r="H35" s="7"/>
    </row>
    <row r="36" ht="14.25" customHeight="1">
      <c r="B36" s="7"/>
      <c r="C36" s="7"/>
      <c r="D36" s="7"/>
      <c r="E36" s="7"/>
      <c r="F36" s="7"/>
      <c r="G36" s="7"/>
      <c r="H36" s="7"/>
    </row>
    <row r="37" ht="14.25" customHeight="1">
      <c r="B37" s="7"/>
      <c r="C37" s="8" t="s">
        <v>27</v>
      </c>
      <c r="D37" s="7"/>
      <c r="E37" s="7"/>
      <c r="F37" s="7"/>
      <c r="G37" s="7"/>
      <c r="H37" s="7"/>
    </row>
    <row r="38" ht="7.5" customHeight="1"/>
    <row r="39" ht="14.25" customHeight="1">
      <c r="C39" s="13" t="s">
        <v>28</v>
      </c>
      <c r="D39" s="13"/>
      <c r="E39" s="13"/>
      <c r="F39" s="14"/>
      <c r="G39" s="12" t="s">
        <v>29</v>
      </c>
      <c r="H39" s="7"/>
    </row>
    <row r="40" ht="14.25" customHeight="1">
      <c r="C40" s="15"/>
      <c r="D40" s="7"/>
      <c r="E40" s="7"/>
      <c r="F40" s="16"/>
      <c r="G40" s="7" t="s">
        <v>30</v>
      </c>
      <c r="H40" s="7"/>
    </row>
    <row r="41" ht="14.25" customHeight="1">
      <c r="C41" s="7"/>
      <c r="D41" s="7"/>
      <c r="E41" s="7"/>
      <c r="F41" s="7"/>
      <c r="G41" s="7"/>
      <c r="H41" s="7"/>
    </row>
    <row r="42" ht="14.25" customHeight="1">
      <c r="C42" s="13" t="s">
        <v>31</v>
      </c>
      <c r="D42" s="13"/>
      <c r="E42" s="13"/>
      <c r="F42" s="14"/>
      <c r="G42" s="12" t="s">
        <v>32</v>
      </c>
      <c r="H42" s="7"/>
    </row>
    <row r="43" ht="14.25" customHeight="1">
      <c r="C43" s="15"/>
      <c r="D43" s="7"/>
      <c r="E43" s="7"/>
      <c r="F43" s="16"/>
      <c r="G43" s="7" t="s">
        <v>33</v>
      </c>
      <c r="H43" s="7"/>
    </row>
    <row r="44" ht="7.5" customHeight="1">
      <c r="F44" s="17"/>
    </row>
    <row r="45" ht="14.25" customHeight="1">
      <c r="C45" s="15"/>
      <c r="D45" s="7"/>
      <c r="E45" s="7"/>
      <c r="F45" s="17"/>
      <c r="G45" s="7" t="s">
        <v>34</v>
      </c>
      <c r="H45" s="7"/>
    </row>
    <row r="46" ht="14.25" customHeight="1">
      <c r="C46" s="15"/>
      <c r="D46" s="7"/>
      <c r="E46" s="7"/>
      <c r="F46" s="17"/>
      <c r="G46" s="7" t="s">
        <v>35</v>
      </c>
      <c r="H46" s="7"/>
    </row>
    <row r="47" ht="7.5" customHeight="1">
      <c r="F47" s="17"/>
    </row>
    <row r="48" ht="14.25" customHeight="1">
      <c r="C48" s="15"/>
      <c r="D48" s="7"/>
      <c r="E48" s="7"/>
      <c r="F48" s="17"/>
      <c r="G48" s="7" t="s">
        <v>36</v>
      </c>
      <c r="H48" s="7"/>
    </row>
    <row r="49" ht="14.25" customHeight="1">
      <c r="C49" s="15"/>
      <c r="D49" s="7"/>
      <c r="E49" s="7"/>
      <c r="F49" s="17"/>
      <c r="G49" s="7" t="s">
        <v>37</v>
      </c>
      <c r="H49" s="7"/>
      <c r="J49" s="4" t="s">
        <v>38</v>
      </c>
    </row>
    <row r="50" ht="14.25" customHeight="1">
      <c r="C50" s="15"/>
      <c r="D50" s="7"/>
      <c r="E50" s="7"/>
      <c r="F50" s="7"/>
      <c r="G50" s="7"/>
      <c r="H50" s="7"/>
      <c r="J50" s="4" t="s">
        <v>39</v>
      </c>
    </row>
    <row r="51" ht="14.25" customHeight="1">
      <c r="C51" s="15"/>
      <c r="D51" s="7"/>
      <c r="E51" s="7"/>
      <c r="F51" s="7"/>
      <c r="G51" s="7"/>
      <c r="H51" s="7"/>
    </row>
    <row r="52" ht="14.25" customHeight="1">
      <c r="C52" s="13" t="s">
        <v>40</v>
      </c>
      <c r="D52" s="13"/>
      <c r="E52" s="13"/>
      <c r="F52" s="14"/>
      <c r="G52" s="7" t="s">
        <v>41</v>
      </c>
      <c r="H52" s="7"/>
    </row>
    <row r="53" ht="14.25" customHeight="1">
      <c r="C53" s="15"/>
      <c r="D53" s="7"/>
      <c r="E53" s="7"/>
      <c r="F53" s="16"/>
      <c r="G53" s="7" t="s">
        <v>42</v>
      </c>
      <c r="H53" s="7"/>
    </row>
    <row r="54" ht="14.25" customHeight="1">
      <c r="C54" s="15"/>
      <c r="D54" s="7"/>
      <c r="E54" s="7"/>
      <c r="F54" s="17"/>
      <c r="G54" s="7" t="s">
        <v>43</v>
      </c>
      <c r="H54" s="7"/>
    </row>
    <row r="55" ht="14.25" customHeight="1">
      <c r="C55" s="15"/>
      <c r="D55" s="7"/>
      <c r="E55" s="7"/>
      <c r="F55" s="17"/>
      <c r="G55" s="7" t="s">
        <v>44</v>
      </c>
      <c r="H55" s="7"/>
    </row>
    <row r="56" ht="14.25" customHeight="1">
      <c r="C56" s="15"/>
      <c r="D56" s="7"/>
      <c r="E56" s="7"/>
      <c r="F56" s="17"/>
      <c r="G56" s="7" t="s">
        <v>37</v>
      </c>
      <c r="H56" s="7"/>
      <c r="J56" s="4" t="s">
        <v>45</v>
      </c>
    </row>
    <row r="57" ht="14.25" customHeight="1">
      <c r="C57" s="15"/>
      <c r="D57" s="7"/>
      <c r="E57" s="7"/>
      <c r="F57" s="17"/>
      <c r="G57" s="7"/>
      <c r="H57" s="7"/>
      <c r="J57" s="4" t="s">
        <v>46</v>
      </c>
    </row>
    <row r="58" ht="14.25" customHeight="1">
      <c r="C58" s="7"/>
      <c r="D58" s="7"/>
      <c r="E58" s="7"/>
      <c r="F58" s="7"/>
      <c r="G58" s="7"/>
      <c r="H58" s="7"/>
    </row>
    <row r="59" ht="14.25" customHeight="1">
      <c r="C59" s="6" t="s">
        <v>47</v>
      </c>
    </row>
    <row r="60" ht="14.25" customHeight="1">
      <c r="C60" s="6" t="s">
        <v>48</v>
      </c>
    </row>
    <row r="61" ht="14.25" customHeight="1">
      <c r="C61" s="6" t="s">
        <v>49</v>
      </c>
    </row>
    <row r="62" ht="14.25" customHeight="1">
      <c r="D62" s="7"/>
      <c r="E62" s="7"/>
      <c r="F62" s="7"/>
      <c r="G62" s="7"/>
      <c r="H62" s="7"/>
    </row>
    <row r="63" ht="14.25" customHeight="1">
      <c r="C63" s="3" t="s">
        <v>50</v>
      </c>
      <c r="D63" s="7"/>
      <c r="E63" s="7"/>
      <c r="F63" s="7"/>
      <c r="G63" s="7" t="s">
        <v>51</v>
      </c>
      <c r="H63" s="7"/>
    </row>
    <row r="64" ht="14.25" customHeight="1">
      <c r="C64" s="13">
        <v>1.0</v>
      </c>
      <c r="D64" s="13"/>
      <c r="E64" s="13"/>
      <c r="F64" s="14"/>
      <c r="G64" s="4" t="s">
        <v>52</v>
      </c>
    </row>
    <row r="65" ht="14.25" customHeight="1">
      <c r="C65" s="13">
        <v>2.0</v>
      </c>
      <c r="D65" s="13"/>
      <c r="E65" s="13"/>
      <c r="F65" s="14"/>
      <c r="G65" s="4" t="s">
        <v>53</v>
      </c>
    </row>
    <row r="66" ht="14.25" customHeight="1">
      <c r="C66" s="13">
        <v>3.0</v>
      </c>
      <c r="D66" s="13"/>
      <c r="E66" s="13"/>
      <c r="F66" s="14"/>
      <c r="G66" s="4" t="s">
        <v>54</v>
      </c>
    </row>
    <row r="67" ht="14.25" customHeight="1">
      <c r="C67" s="13">
        <v>4.0</v>
      </c>
      <c r="D67" s="13"/>
      <c r="E67" s="13"/>
      <c r="F67" s="14"/>
      <c r="G67" s="4" t="s">
        <v>55</v>
      </c>
    </row>
    <row r="68" ht="14.25" customHeight="1">
      <c r="C68" s="7"/>
      <c r="D68" s="7"/>
      <c r="E68" s="7"/>
      <c r="F68" s="7"/>
      <c r="G68" s="7"/>
      <c r="H68" s="7"/>
    </row>
    <row r="69" ht="14.25" customHeight="1">
      <c r="C69" s="8" t="s">
        <v>56</v>
      </c>
      <c r="D69" s="7"/>
      <c r="E69" s="7"/>
      <c r="F69" s="7"/>
      <c r="G69" s="7"/>
      <c r="H69" s="7"/>
    </row>
    <row r="70" ht="14.25" customHeight="1">
      <c r="C70" s="18" t="s">
        <v>57</v>
      </c>
      <c r="D70" s="19"/>
      <c r="E70" s="19"/>
      <c r="F70" s="20"/>
      <c r="G70" s="12" t="s">
        <v>58</v>
      </c>
      <c r="H70" s="7"/>
    </row>
    <row r="71" ht="14.25" customHeight="1">
      <c r="C71" s="7"/>
      <c r="D71" s="7"/>
      <c r="E71" s="7"/>
      <c r="F71" s="7"/>
      <c r="G71" s="12" t="s">
        <v>59</v>
      </c>
      <c r="H71" s="7"/>
    </row>
    <row r="72" ht="14.25" customHeight="1">
      <c r="C72" s="7"/>
      <c r="D72" s="7"/>
      <c r="E72" s="7"/>
      <c r="F72" s="7"/>
      <c r="G72" s="12" t="s">
        <v>60</v>
      </c>
      <c r="H72" s="7"/>
    </row>
    <row r="73" ht="14.25" customHeight="1">
      <c r="C73" s="7"/>
      <c r="D73" s="7"/>
      <c r="E73" s="7"/>
      <c r="F73" s="7"/>
      <c r="G73" s="12" t="s">
        <v>61</v>
      </c>
      <c r="H73" s="7"/>
    </row>
    <row r="74" ht="14.25" customHeight="1">
      <c r="C74" s="7"/>
      <c r="D74" s="7"/>
      <c r="E74" s="7"/>
      <c r="F74" s="7"/>
      <c r="G74" s="7"/>
      <c r="H74" s="7"/>
    </row>
    <row r="75" ht="14.25" customHeight="1">
      <c r="C75" s="18" t="s">
        <v>62</v>
      </c>
      <c r="D75" s="19"/>
      <c r="E75" s="19"/>
      <c r="F75" s="20"/>
      <c r="G75" s="12" t="s">
        <v>63</v>
      </c>
      <c r="H75" s="7"/>
    </row>
    <row r="76" ht="14.25" customHeight="1">
      <c r="C76" s="15"/>
      <c r="D76" s="7"/>
      <c r="E76" s="7"/>
      <c r="F76" s="7"/>
      <c r="G76" s="12" t="s">
        <v>64</v>
      </c>
      <c r="H76" s="7"/>
    </row>
    <row r="77" ht="14.25" customHeight="1">
      <c r="C77" s="15"/>
      <c r="D77" s="7"/>
      <c r="E77" s="7"/>
      <c r="F77" s="7"/>
      <c r="G77" s="12" t="s">
        <v>65</v>
      </c>
      <c r="H77" s="7"/>
    </row>
    <row r="78" ht="14.25" customHeight="1">
      <c r="C78" s="15"/>
      <c r="D78" s="7"/>
      <c r="E78" s="7"/>
      <c r="F78" s="7"/>
      <c r="G78" s="12" t="s">
        <v>66</v>
      </c>
      <c r="H78" s="7"/>
    </row>
    <row r="79" ht="14.25" customHeight="1">
      <c r="C79" s="7"/>
      <c r="D79" s="7"/>
      <c r="E79" s="7"/>
      <c r="F79" s="7"/>
      <c r="G79" s="7"/>
      <c r="H79" s="7"/>
    </row>
    <row r="80" ht="14.25" customHeight="1">
      <c r="C80" s="18" t="s">
        <v>67</v>
      </c>
      <c r="D80" s="19"/>
      <c r="E80" s="19"/>
      <c r="F80" s="20"/>
      <c r="G80" s="12" t="s">
        <v>68</v>
      </c>
      <c r="H80" s="7"/>
    </row>
    <row r="81" ht="14.25" customHeight="1">
      <c r="C81" s="15"/>
      <c r="D81" s="7"/>
      <c r="E81" s="7"/>
      <c r="F81" s="7"/>
      <c r="G81" s="12" t="s">
        <v>69</v>
      </c>
      <c r="H81" s="7"/>
    </row>
    <row r="82" ht="14.25" customHeight="1">
      <c r="C82" s="15"/>
      <c r="D82" s="7"/>
      <c r="E82" s="7"/>
      <c r="F82" s="7"/>
      <c r="G82" s="12" t="s">
        <v>70</v>
      </c>
      <c r="H82" s="7"/>
    </row>
    <row r="83" ht="14.25" customHeight="1">
      <c r="C83" s="7"/>
      <c r="D83" s="7"/>
      <c r="E83" s="7"/>
      <c r="F83" s="7"/>
      <c r="G83" s="7"/>
      <c r="H83" s="7"/>
    </row>
    <row r="84" ht="14.25" customHeight="1">
      <c r="C84" s="18" t="s">
        <v>71</v>
      </c>
      <c r="D84" s="19"/>
      <c r="E84" s="19"/>
      <c r="F84" s="20"/>
      <c r="G84" s="12" t="s">
        <v>72</v>
      </c>
      <c r="H84" s="7"/>
    </row>
    <row r="85" ht="14.25" customHeight="1">
      <c r="C85" s="15"/>
      <c r="D85" s="7"/>
      <c r="E85" s="7"/>
      <c r="F85" s="7"/>
      <c r="G85" s="12" t="s">
        <v>73</v>
      </c>
      <c r="H85" s="7"/>
    </row>
    <row r="86" ht="14.25" customHeight="1">
      <c r="C86" s="15"/>
      <c r="D86" s="7"/>
      <c r="E86" s="7"/>
      <c r="F86" s="7"/>
      <c r="G86" s="12" t="s">
        <v>74</v>
      </c>
      <c r="H86" s="7"/>
    </row>
    <row r="87" ht="14.25" customHeight="1">
      <c r="C87" s="7"/>
      <c r="D87" s="7"/>
      <c r="E87" s="7"/>
      <c r="F87" s="7"/>
      <c r="G87" s="7"/>
      <c r="H87" s="7"/>
    </row>
    <row r="88" ht="14.25" customHeight="1">
      <c r="C88" s="18" t="s">
        <v>75</v>
      </c>
      <c r="D88" s="19"/>
      <c r="E88" s="19"/>
      <c r="F88" s="20"/>
      <c r="G88" s="12" t="s">
        <v>76</v>
      </c>
      <c r="H88" s="7"/>
    </row>
    <row r="89" ht="14.25" customHeight="1">
      <c r="C89" s="7"/>
      <c r="D89" s="7"/>
      <c r="E89" s="7"/>
      <c r="F89" s="7"/>
      <c r="G89" s="12" t="s">
        <v>77</v>
      </c>
      <c r="H89" s="7"/>
    </row>
    <row r="90" ht="14.25" customHeight="1">
      <c r="C90" s="7"/>
      <c r="D90" s="7"/>
      <c r="E90" s="7"/>
      <c r="F90" s="7"/>
      <c r="G90" s="12" t="s">
        <v>78</v>
      </c>
      <c r="H90" s="7"/>
    </row>
    <row r="91" ht="14.25" customHeight="1">
      <c r="C91" s="7"/>
      <c r="D91" s="7"/>
      <c r="E91" s="7"/>
      <c r="F91" s="7"/>
      <c r="G91" s="7"/>
      <c r="H91" s="7"/>
    </row>
    <row r="92" ht="14.25" customHeight="1">
      <c r="C92" s="8" t="s">
        <v>79</v>
      </c>
      <c r="D92" s="7"/>
      <c r="E92" s="7"/>
      <c r="F92" s="7"/>
      <c r="G92" s="7"/>
      <c r="H92" s="7"/>
    </row>
    <row r="93" ht="14.25" customHeight="1">
      <c r="C93" s="18" t="s">
        <v>80</v>
      </c>
      <c r="D93" s="19"/>
      <c r="E93" s="19"/>
      <c r="F93" s="20"/>
      <c r="G93" s="12" t="s">
        <v>81</v>
      </c>
      <c r="H93" s="7"/>
    </row>
    <row r="94" ht="14.25" customHeight="1">
      <c r="C94" s="7"/>
      <c r="D94" s="7"/>
      <c r="E94" s="7"/>
      <c r="F94" s="7"/>
      <c r="G94" s="12" t="s">
        <v>82</v>
      </c>
      <c r="H94" s="7"/>
    </row>
    <row r="95" ht="14.25" customHeight="1">
      <c r="C95" s="7"/>
      <c r="D95" s="7"/>
      <c r="E95" s="7"/>
      <c r="F95" s="17"/>
      <c r="G95" s="21" t="s">
        <v>83</v>
      </c>
      <c r="H95" s="7"/>
    </row>
    <row r="96" ht="14.25" customHeight="1">
      <c r="C96" s="7"/>
      <c r="D96" s="7"/>
      <c r="E96" s="7"/>
      <c r="F96" s="17"/>
      <c r="G96" s="22" t="s">
        <v>84</v>
      </c>
      <c r="H96" s="7"/>
    </row>
    <row r="97" ht="7.5" customHeight="1">
      <c r="F97" s="17"/>
    </row>
    <row r="98" ht="14.25" customHeight="1">
      <c r="C98" s="7"/>
      <c r="D98" s="7"/>
      <c r="E98" s="7"/>
      <c r="F98" s="17"/>
      <c r="G98" s="22" t="s">
        <v>85</v>
      </c>
      <c r="H98" s="7"/>
    </row>
    <row r="99" ht="14.25" customHeight="1">
      <c r="C99" s="7"/>
      <c r="D99" s="7"/>
      <c r="E99" s="7"/>
      <c r="F99" s="17"/>
      <c r="G99" s="22" t="s">
        <v>86</v>
      </c>
      <c r="H99" s="7"/>
    </row>
    <row r="100" ht="14.25" customHeight="1">
      <c r="C100" s="7"/>
      <c r="D100" s="7"/>
      <c r="E100" s="7"/>
      <c r="F100" s="17"/>
      <c r="G100" s="22" t="s">
        <v>87</v>
      </c>
      <c r="H100" s="7"/>
    </row>
    <row r="101" ht="14.25" customHeight="1">
      <c r="C101" s="7"/>
      <c r="D101" s="7"/>
      <c r="E101" s="7"/>
      <c r="F101" s="17"/>
      <c r="G101" s="22" t="s">
        <v>88</v>
      </c>
      <c r="H101" s="7"/>
    </row>
    <row r="102" ht="14.25" customHeight="1">
      <c r="C102" s="7"/>
      <c r="D102" s="7"/>
      <c r="E102" s="7"/>
      <c r="F102" s="17"/>
      <c r="G102" s="22" t="s">
        <v>89</v>
      </c>
      <c r="H102" s="7"/>
    </row>
    <row r="103" ht="14.25" customHeight="1">
      <c r="C103" s="7"/>
      <c r="D103" s="7"/>
      <c r="E103" s="7"/>
      <c r="F103" s="7"/>
      <c r="G103" s="7"/>
      <c r="H103" s="7"/>
    </row>
    <row r="104" ht="14.25" customHeight="1">
      <c r="C104" s="23" t="s">
        <v>90</v>
      </c>
      <c r="D104" s="24"/>
      <c r="E104" s="24"/>
      <c r="F104" s="25"/>
      <c r="G104" s="12" t="s">
        <v>91</v>
      </c>
      <c r="H104" s="7"/>
    </row>
    <row r="105" ht="14.25" customHeight="1">
      <c r="C105" s="26" t="s">
        <v>92</v>
      </c>
      <c r="D105" s="13"/>
      <c r="E105" s="13"/>
      <c r="F105" s="14"/>
      <c r="G105" s="27" t="s">
        <v>93</v>
      </c>
      <c r="H105" s="7"/>
    </row>
    <row r="106" ht="14.25" customHeight="1">
      <c r="C106" s="15"/>
      <c r="D106" s="7"/>
      <c r="E106" s="7"/>
      <c r="F106" s="17"/>
      <c r="G106" s="22" t="s">
        <v>94</v>
      </c>
      <c r="H106" s="7"/>
    </row>
    <row r="107" ht="14.25" customHeight="1">
      <c r="C107" s="15"/>
      <c r="D107" s="7"/>
      <c r="E107" s="7"/>
      <c r="F107" s="17"/>
      <c r="G107" s="7" t="s">
        <v>95</v>
      </c>
      <c r="H107" s="7"/>
    </row>
    <row r="108" ht="14.25" customHeight="1">
      <c r="C108" s="7"/>
      <c r="D108" s="7"/>
      <c r="E108" s="7"/>
      <c r="F108" s="7"/>
      <c r="G108" s="7"/>
      <c r="H108" s="7"/>
    </row>
    <row r="109" ht="14.25" customHeight="1">
      <c r="C109" s="23" t="s">
        <v>90</v>
      </c>
      <c r="D109" s="24"/>
      <c r="E109" s="24"/>
      <c r="F109" s="25"/>
      <c r="G109" s="12" t="s">
        <v>96</v>
      </c>
      <c r="H109" s="7"/>
    </row>
    <row r="110" ht="14.25" customHeight="1">
      <c r="C110" s="26" t="s">
        <v>97</v>
      </c>
      <c r="D110" s="13"/>
      <c r="E110" s="13"/>
      <c r="F110" s="14"/>
      <c r="G110" s="12" t="s">
        <v>98</v>
      </c>
      <c r="H110" s="7"/>
    </row>
    <row r="111" ht="14.25" customHeight="1">
      <c r="C111" s="7"/>
      <c r="D111" s="7"/>
      <c r="E111" s="7"/>
      <c r="F111" s="7"/>
      <c r="G111" s="7"/>
      <c r="H111" s="7"/>
    </row>
    <row r="112" ht="14.25" customHeight="1">
      <c r="C112" s="18" t="s">
        <v>99</v>
      </c>
      <c r="D112" s="19"/>
      <c r="E112" s="19"/>
      <c r="F112" s="20"/>
      <c r="G112" s="12" t="s">
        <v>100</v>
      </c>
      <c r="H112" s="7"/>
    </row>
    <row r="113" ht="14.25" customHeight="1">
      <c r="C113" s="15"/>
      <c r="D113" s="7"/>
      <c r="E113" s="7"/>
      <c r="F113" s="7"/>
      <c r="G113" s="12" t="s">
        <v>101</v>
      </c>
      <c r="H113" s="7"/>
    </row>
    <row r="114" ht="14.25" customHeight="1">
      <c r="C114" s="15"/>
      <c r="D114" s="7"/>
      <c r="E114" s="7"/>
      <c r="F114" s="7"/>
      <c r="G114" s="12" t="s">
        <v>102</v>
      </c>
      <c r="H114" s="7"/>
    </row>
    <row r="115" ht="14.25" customHeight="1">
      <c r="C115" s="15"/>
      <c r="D115" s="7"/>
      <c r="E115" s="7"/>
      <c r="F115" s="7"/>
      <c r="G115" s="12" t="s">
        <v>103</v>
      </c>
      <c r="H115" s="7"/>
    </row>
    <row r="116" ht="14.25" customHeight="1">
      <c r="C116" s="15"/>
      <c r="D116" s="7"/>
      <c r="E116" s="7"/>
      <c r="F116" s="7"/>
      <c r="G116" s="12" t="s">
        <v>104</v>
      </c>
      <c r="H116" s="7"/>
    </row>
    <row r="117" ht="14.25" customHeight="1">
      <c r="C117" s="15"/>
      <c r="D117" s="7"/>
      <c r="E117" s="7"/>
      <c r="F117" s="7"/>
      <c r="G117" s="12" t="s">
        <v>105</v>
      </c>
      <c r="H117" s="7"/>
    </row>
    <row r="118" ht="14.25" customHeight="1"/>
    <row r="119" ht="14.25" customHeight="1">
      <c r="C119" s="18" t="s">
        <v>106</v>
      </c>
      <c r="D119" s="19"/>
      <c r="E119" s="19"/>
      <c r="F119" s="20"/>
      <c r="G119" s="12" t="s">
        <v>107</v>
      </c>
      <c r="H119" s="7"/>
    </row>
    <row r="120" ht="14.25" customHeight="1">
      <c r="C120" s="15"/>
      <c r="D120" s="7"/>
      <c r="E120" s="7"/>
      <c r="F120" s="7"/>
      <c r="G120" s="12" t="s">
        <v>108</v>
      </c>
      <c r="H120" s="7"/>
    </row>
    <row r="121" ht="14.25" customHeight="1">
      <c r="C121" s="15"/>
      <c r="D121" s="7"/>
      <c r="E121" s="7"/>
      <c r="F121" s="17"/>
      <c r="G121" s="7" t="s">
        <v>109</v>
      </c>
      <c r="H121" s="7"/>
    </row>
    <row r="122" ht="14.25" customHeight="1">
      <c r="F122" s="17"/>
      <c r="G122" s="7" t="s">
        <v>110</v>
      </c>
    </row>
    <row r="123" ht="14.25" customHeight="1"/>
    <row r="124" ht="14.25" customHeight="1"/>
    <row r="125" ht="14.25" customHeight="1">
      <c r="B125" s="4" t="s">
        <v>111</v>
      </c>
    </row>
    <row r="126" ht="14.25" customHeight="1">
      <c r="B126" s="2" t="s">
        <v>112</v>
      </c>
    </row>
    <row r="127" ht="14.25" customHeight="1">
      <c r="B127" s="28" t="s">
        <v>113</v>
      </c>
    </row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127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.57"/>
    <col customWidth="1" min="2" max="2" width="4.14"/>
    <col customWidth="1" min="3" max="3" width="21.0"/>
    <col customWidth="1" min="4" max="4" width="39.0"/>
    <col customWidth="1" min="5" max="8" width="2.57"/>
    <col customWidth="1" min="9" max="9" width="5.57"/>
    <col customWidth="1" min="10" max="10" width="11.57"/>
    <col customWidth="1" min="11" max="13" width="5.57"/>
    <col customWidth="1" min="14" max="14" width="8.43"/>
    <col customWidth="1" min="15" max="15" width="51.86"/>
    <col customWidth="1" min="16" max="16" width="19.0"/>
    <col customWidth="1" min="17" max="17" width="4.0"/>
    <col customWidth="1" min="18" max="18" width="7.57"/>
    <col customWidth="1" min="19" max="19" width="3.14"/>
    <col customWidth="1" min="20" max="20" width="8.57"/>
    <col customWidth="1" min="21" max="24" width="10.57"/>
    <col customWidth="1" hidden="1" min="25" max="42" width="10.71"/>
  </cols>
  <sheetData>
    <row r="1" ht="12.75" customHeight="1">
      <c r="A1" s="29"/>
      <c r="B1" s="29"/>
      <c r="C1" s="30" t="s">
        <v>114</v>
      </c>
      <c r="D1" s="31"/>
      <c r="E1" s="29"/>
      <c r="F1" s="29"/>
      <c r="G1" s="29"/>
      <c r="H1" s="29"/>
      <c r="I1" s="32" t="s">
        <v>115</v>
      </c>
      <c r="J1" s="33"/>
      <c r="K1" s="34"/>
      <c r="L1" s="29"/>
      <c r="M1" s="29"/>
      <c r="N1" s="32" t="s">
        <v>116</v>
      </c>
      <c r="O1" s="31"/>
      <c r="P1" s="29"/>
      <c r="Q1" s="35"/>
      <c r="R1" s="36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</row>
    <row r="2" ht="12.75" customHeight="1">
      <c r="A2" s="29"/>
      <c r="B2" s="29"/>
      <c r="C2" s="30" t="s">
        <v>117</v>
      </c>
      <c r="D2" s="31"/>
      <c r="E2" s="29"/>
      <c r="F2" s="29"/>
      <c r="G2" s="29"/>
      <c r="H2" s="29"/>
      <c r="I2" s="32" t="s">
        <v>118</v>
      </c>
      <c r="J2" s="33"/>
      <c r="K2" s="34"/>
      <c r="L2" s="29"/>
      <c r="M2" s="29"/>
      <c r="N2" s="32" t="s">
        <v>119</v>
      </c>
      <c r="O2" s="31"/>
      <c r="P2" s="29"/>
      <c r="Q2" s="35"/>
      <c r="R2" s="37">
        <f>SUM(T:T)</f>
        <v>5326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ht="6.0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</row>
    <row r="4" ht="12.75" customHeight="1">
      <c r="A4" s="38"/>
      <c r="B4" s="40" t="s">
        <v>120</v>
      </c>
      <c r="C4" s="41" t="s">
        <v>28</v>
      </c>
      <c r="D4" s="41" t="s">
        <v>31</v>
      </c>
      <c r="E4" s="42">
        <v>1.0</v>
      </c>
      <c r="F4" s="43">
        <v>2.0</v>
      </c>
      <c r="G4" s="43">
        <v>3.0</v>
      </c>
      <c r="H4" s="44">
        <v>4.0</v>
      </c>
      <c r="I4" s="45" t="s">
        <v>121</v>
      </c>
      <c r="J4" s="46" t="s">
        <v>62</v>
      </c>
      <c r="K4" s="46" t="s">
        <v>67</v>
      </c>
      <c r="L4" s="46" t="s">
        <v>71</v>
      </c>
      <c r="M4" s="47" t="s">
        <v>75</v>
      </c>
      <c r="N4" s="48" t="s">
        <v>122</v>
      </c>
      <c r="O4" s="49" t="s">
        <v>123</v>
      </c>
      <c r="P4" s="49" t="s">
        <v>124</v>
      </c>
      <c r="Q4" s="49" t="s">
        <v>106</v>
      </c>
      <c r="R4" s="50" t="s">
        <v>99</v>
      </c>
      <c r="S4" s="51" t="s">
        <v>125</v>
      </c>
      <c r="T4" s="52" t="s">
        <v>126</v>
      </c>
      <c r="U4" s="53" t="s">
        <v>127</v>
      </c>
      <c r="V4" s="54" t="s">
        <v>128</v>
      </c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</row>
    <row r="5" ht="12.75" customHeight="1">
      <c r="A5" s="29"/>
      <c r="B5" s="55">
        <v>1.0</v>
      </c>
      <c r="C5" s="56" t="s">
        <v>129</v>
      </c>
      <c r="D5" s="56" t="s">
        <v>130</v>
      </c>
      <c r="E5" s="57" t="s">
        <v>131</v>
      </c>
      <c r="F5" s="58" t="s">
        <v>131</v>
      </c>
      <c r="G5" s="58" t="s">
        <v>131</v>
      </c>
      <c r="H5" s="59" t="s">
        <v>131</v>
      </c>
      <c r="I5" s="60">
        <v>5.0</v>
      </c>
      <c r="J5" s="61"/>
      <c r="K5" s="61"/>
      <c r="L5" s="61"/>
      <c r="M5" s="62"/>
      <c r="N5" s="63">
        <v>20.0</v>
      </c>
      <c r="O5" s="64" t="s">
        <v>132</v>
      </c>
      <c r="P5" s="65"/>
      <c r="Q5" s="66" t="s">
        <v>133</v>
      </c>
      <c r="R5" s="67">
        <f t="shared" ref="R5:R26" si="1">I5*22+J5*4.3+K5*2+L5+M5/12</f>
        <v>110</v>
      </c>
      <c r="S5" s="68">
        <f t="shared" ref="S5:S26" si="2">IF(OR(AND(E5="",F5="",G5="",H5=""),AND(I5="",J5="",K5="",L5="",M5=""),AND(I5&lt;&gt;"",COUNTA(E5:H5)&lt;4),AND(J5&lt;&gt;"",COUNTA(E5:H5)&lt;4),AND(K5&lt;&gt;"",COUNTA(E5:H5)&lt;&gt;2),AND(L5&lt;&gt;"",COUNTA(E5:H5)&gt;1),AND(COUNTA(I5:M5)&gt;1)),2,1)</f>
        <v>1</v>
      </c>
      <c r="T5" s="69">
        <f t="shared" ref="T5:T26" si="3">N5*R5</f>
        <v>2200</v>
      </c>
      <c r="U5" s="70">
        <f t="shared" ref="U5:U26" si="4">T5/60</f>
        <v>36.66666667</v>
      </c>
      <c r="V5" s="71">
        <f t="shared" ref="V5:V26" si="5">T5/22</f>
        <v>100</v>
      </c>
      <c r="W5" s="38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</row>
    <row r="6" ht="12.75" customHeight="1">
      <c r="A6" s="29"/>
      <c r="B6" s="55">
        <v>2.0</v>
      </c>
      <c r="C6" s="56" t="s">
        <v>129</v>
      </c>
      <c r="D6" s="56" t="s">
        <v>134</v>
      </c>
      <c r="E6" s="57" t="s">
        <v>131</v>
      </c>
      <c r="F6" s="58" t="s">
        <v>131</v>
      </c>
      <c r="G6" s="58" t="s">
        <v>131</v>
      </c>
      <c r="H6" s="72" t="s">
        <v>131</v>
      </c>
      <c r="I6" s="60">
        <v>2.0</v>
      </c>
      <c r="J6" s="61"/>
      <c r="K6" s="61"/>
      <c r="L6" s="61"/>
      <c r="M6" s="62"/>
      <c r="N6" s="63">
        <v>2.0</v>
      </c>
      <c r="O6" s="73" t="s">
        <v>135</v>
      </c>
      <c r="P6" s="74"/>
      <c r="Q6" s="75" t="s">
        <v>133</v>
      </c>
      <c r="R6" s="76">
        <f t="shared" si="1"/>
        <v>44</v>
      </c>
      <c r="S6" s="68">
        <f t="shared" si="2"/>
        <v>1</v>
      </c>
      <c r="T6" s="69">
        <f t="shared" si="3"/>
        <v>88</v>
      </c>
      <c r="U6" s="70">
        <f t="shared" si="4"/>
        <v>1.466666667</v>
      </c>
      <c r="V6" s="71">
        <f t="shared" si="5"/>
        <v>4</v>
      </c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</row>
    <row r="7" ht="12.75" customHeight="1">
      <c r="A7" s="29"/>
      <c r="B7" s="55">
        <v>3.0</v>
      </c>
      <c r="C7" s="56" t="s">
        <v>129</v>
      </c>
      <c r="D7" s="56" t="s">
        <v>136</v>
      </c>
      <c r="E7" s="57" t="s">
        <v>131</v>
      </c>
      <c r="F7" s="58" t="s">
        <v>131</v>
      </c>
      <c r="G7" s="58" t="s">
        <v>131</v>
      </c>
      <c r="H7" s="72" t="s">
        <v>131</v>
      </c>
      <c r="I7" s="60"/>
      <c r="J7" s="61">
        <v>1.0</v>
      </c>
      <c r="K7" s="61"/>
      <c r="L7" s="61"/>
      <c r="M7" s="62"/>
      <c r="N7" s="63">
        <v>5.0</v>
      </c>
      <c r="O7" s="73" t="s">
        <v>137</v>
      </c>
      <c r="P7" s="74"/>
      <c r="Q7" s="75" t="s">
        <v>133</v>
      </c>
      <c r="R7" s="76">
        <f t="shared" si="1"/>
        <v>4.3</v>
      </c>
      <c r="S7" s="68">
        <f t="shared" si="2"/>
        <v>1</v>
      </c>
      <c r="T7" s="69">
        <f t="shared" si="3"/>
        <v>21.5</v>
      </c>
      <c r="U7" s="70">
        <f t="shared" si="4"/>
        <v>0.3583333333</v>
      </c>
      <c r="V7" s="71">
        <f t="shared" si="5"/>
        <v>0.9772727273</v>
      </c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ht="12.75" customHeight="1">
      <c r="A8" s="29"/>
      <c r="B8" s="55">
        <v>4.0</v>
      </c>
      <c r="C8" s="56" t="s">
        <v>129</v>
      </c>
      <c r="D8" s="56" t="s">
        <v>138</v>
      </c>
      <c r="E8" s="57"/>
      <c r="F8" s="58"/>
      <c r="G8" s="58"/>
      <c r="H8" s="72" t="s">
        <v>131</v>
      </c>
      <c r="I8" s="60"/>
      <c r="J8" s="61"/>
      <c r="K8" s="61"/>
      <c r="L8" s="61"/>
      <c r="M8" s="62">
        <v>4.0</v>
      </c>
      <c r="N8" s="63">
        <v>60.0</v>
      </c>
      <c r="O8" s="73" t="s">
        <v>139</v>
      </c>
      <c r="P8" s="74"/>
      <c r="Q8" s="75" t="s">
        <v>133</v>
      </c>
      <c r="R8" s="76">
        <f t="shared" si="1"/>
        <v>0.3333333333</v>
      </c>
      <c r="S8" s="68">
        <f t="shared" si="2"/>
        <v>1</v>
      </c>
      <c r="T8" s="69">
        <f t="shared" si="3"/>
        <v>20</v>
      </c>
      <c r="U8" s="70">
        <f t="shared" si="4"/>
        <v>0.3333333333</v>
      </c>
      <c r="V8" s="71">
        <f t="shared" si="5"/>
        <v>0.9090909091</v>
      </c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</row>
    <row r="9" ht="12.75" customHeight="1">
      <c r="A9" s="29"/>
      <c r="B9" s="55">
        <v>5.0</v>
      </c>
      <c r="C9" s="56" t="s">
        <v>140</v>
      </c>
      <c r="D9" s="56" t="s">
        <v>141</v>
      </c>
      <c r="E9" s="57"/>
      <c r="F9" s="58"/>
      <c r="G9" s="58" t="s">
        <v>131</v>
      </c>
      <c r="H9" s="72"/>
      <c r="I9" s="60"/>
      <c r="J9" s="61"/>
      <c r="K9" s="61"/>
      <c r="L9" s="61">
        <v>1.0</v>
      </c>
      <c r="M9" s="62"/>
      <c r="N9" s="63">
        <v>120.0</v>
      </c>
      <c r="O9" s="73"/>
      <c r="P9" s="74"/>
      <c r="Q9" s="75" t="s">
        <v>133</v>
      </c>
      <c r="R9" s="76">
        <f t="shared" si="1"/>
        <v>1</v>
      </c>
      <c r="S9" s="68">
        <f t="shared" si="2"/>
        <v>1</v>
      </c>
      <c r="T9" s="69">
        <f t="shared" si="3"/>
        <v>120</v>
      </c>
      <c r="U9" s="70">
        <f t="shared" si="4"/>
        <v>2</v>
      </c>
      <c r="V9" s="71">
        <f t="shared" si="5"/>
        <v>5.454545455</v>
      </c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</row>
    <row r="10" ht="12.75" customHeight="1">
      <c r="A10" s="29"/>
      <c r="B10" s="55"/>
      <c r="C10" s="56"/>
      <c r="D10" s="56"/>
      <c r="E10" s="57"/>
      <c r="F10" s="58"/>
      <c r="G10" s="58"/>
      <c r="H10" s="72"/>
      <c r="I10" s="60"/>
      <c r="J10" s="61"/>
      <c r="K10" s="61"/>
      <c r="L10" s="61"/>
      <c r="M10" s="62"/>
      <c r="N10" s="63"/>
      <c r="O10" s="73"/>
      <c r="P10" s="74"/>
      <c r="Q10" s="75" t="s">
        <v>133</v>
      </c>
      <c r="R10" s="76">
        <f t="shared" si="1"/>
        <v>0</v>
      </c>
      <c r="S10" s="68">
        <f t="shared" si="2"/>
        <v>2</v>
      </c>
      <c r="T10" s="69">
        <f t="shared" si="3"/>
        <v>0</v>
      </c>
      <c r="U10" s="70">
        <f t="shared" si="4"/>
        <v>0</v>
      </c>
      <c r="V10" s="71">
        <f t="shared" si="5"/>
        <v>0</v>
      </c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</row>
    <row r="11" ht="12.75" customHeight="1">
      <c r="A11" s="29"/>
      <c r="B11" s="77"/>
      <c r="C11" s="78" t="s">
        <v>142</v>
      </c>
      <c r="D11" s="79"/>
      <c r="E11" s="80"/>
      <c r="F11" s="81"/>
      <c r="G11" s="81"/>
      <c r="H11" s="82"/>
      <c r="I11" s="83"/>
      <c r="J11" s="84"/>
      <c r="K11" s="84"/>
      <c r="L11" s="84"/>
      <c r="M11" s="85"/>
      <c r="N11" s="86"/>
      <c r="O11" s="87"/>
      <c r="P11" s="88"/>
      <c r="Q11" s="75" t="s">
        <v>133</v>
      </c>
      <c r="R11" s="76">
        <f t="shared" si="1"/>
        <v>0</v>
      </c>
      <c r="S11" s="68">
        <f t="shared" si="2"/>
        <v>2</v>
      </c>
      <c r="T11" s="69">
        <f t="shared" si="3"/>
        <v>0</v>
      </c>
      <c r="U11" s="70">
        <f t="shared" si="4"/>
        <v>0</v>
      </c>
      <c r="V11" s="71">
        <f t="shared" si="5"/>
        <v>0</v>
      </c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</row>
    <row r="12" ht="12.75" customHeight="1">
      <c r="A12" s="29"/>
      <c r="B12" s="55">
        <v>1.0</v>
      </c>
      <c r="C12" s="56" t="s">
        <v>143</v>
      </c>
      <c r="D12" s="56" t="s">
        <v>144</v>
      </c>
      <c r="E12" s="57" t="s">
        <v>131</v>
      </c>
      <c r="F12" s="58" t="s">
        <v>131</v>
      </c>
      <c r="G12" s="58" t="s">
        <v>131</v>
      </c>
      <c r="H12" s="72" t="s">
        <v>131</v>
      </c>
      <c r="I12" s="60">
        <v>10.0</v>
      </c>
      <c r="J12" s="61"/>
      <c r="K12" s="61"/>
      <c r="L12" s="61"/>
      <c r="M12" s="62"/>
      <c r="N12" s="63">
        <v>2.0</v>
      </c>
      <c r="O12" s="73" t="s">
        <v>145</v>
      </c>
      <c r="P12" s="74" t="s">
        <v>146</v>
      </c>
      <c r="Q12" s="75" t="s">
        <v>133</v>
      </c>
      <c r="R12" s="76">
        <f t="shared" si="1"/>
        <v>220</v>
      </c>
      <c r="S12" s="68">
        <f t="shared" si="2"/>
        <v>1</v>
      </c>
      <c r="T12" s="69">
        <f t="shared" si="3"/>
        <v>440</v>
      </c>
      <c r="U12" s="70">
        <f t="shared" si="4"/>
        <v>7.333333333</v>
      </c>
      <c r="V12" s="71">
        <f t="shared" si="5"/>
        <v>20</v>
      </c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ht="12.75" customHeight="1">
      <c r="A13" s="29"/>
      <c r="B13" s="55">
        <v>2.0</v>
      </c>
      <c r="C13" s="89" t="s">
        <v>147</v>
      </c>
      <c r="D13" s="89" t="s">
        <v>148</v>
      </c>
      <c r="E13" s="90" t="s">
        <v>131</v>
      </c>
      <c r="F13" s="91" t="s">
        <v>131</v>
      </c>
      <c r="G13" s="91" t="s">
        <v>131</v>
      </c>
      <c r="H13" s="92" t="s">
        <v>131</v>
      </c>
      <c r="I13" s="93"/>
      <c r="J13" s="61">
        <f>22/4.3</f>
        <v>5.11627907</v>
      </c>
      <c r="K13" s="61"/>
      <c r="L13" s="61"/>
      <c r="M13" s="62"/>
      <c r="N13" s="63">
        <v>10.0</v>
      </c>
      <c r="O13" s="73" t="s">
        <v>149</v>
      </c>
      <c r="P13" s="74" t="s">
        <v>150</v>
      </c>
      <c r="Q13" s="75" t="s">
        <v>133</v>
      </c>
      <c r="R13" s="76">
        <f t="shared" si="1"/>
        <v>22</v>
      </c>
      <c r="S13" s="68">
        <f t="shared" si="2"/>
        <v>1</v>
      </c>
      <c r="T13" s="69">
        <f t="shared" si="3"/>
        <v>220</v>
      </c>
      <c r="U13" s="70">
        <f t="shared" si="4"/>
        <v>3.666666667</v>
      </c>
      <c r="V13" s="71">
        <f t="shared" si="5"/>
        <v>10</v>
      </c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</row>
    <row r="14" ht="12.75" customHeight="1">
      <c r="A14" s="29"/>
      <c r="B14" s="55">
        <v>3.0</v>
      </c>
      <c r="C14" s="56" t="s">
        <v>151</v>
      </c>
      <c r="D14" s="56" t="s">
        <v>152</v>
      </c>
      <c r="E14" s="57" t="s">
        <v>131</v>
      </c>
      <c r="F14" s="58" t="s">
        <v>131</v>
      </c>
      <c r="G14" s="58" t="s">
        <v>131</v>
      </c>
      <c r="H14" s="72" t="s">
        <v>131</v>
      </c>
      <c r="I14" s="60"/>
      <c r="J14" s="61">
        <v>1.0</v>
      </c>
      <c r="K14" s="61"/>
      <c r="L14" s="61"/>
      <c r="M14" s="62"/>
      <c r="N14" s="63">
        <v>15.0</v>
      </c>
      <c r="O14" s="73" t="s">
        <v>153</v>
      </c>
      <c r="P14" s="74" t="s">
        <v>154</v>
      </c>
      <c r="Q14" s="75" t="s">
        <v>133</v>
      </c>
      <c r="R14" s="76">
        <f t="shared" si="1"/>
        <v>4.3</v>
      </c>
      <c r="S14" s="68">
        <f t="shared" si="2"/>
        <v>1</v>
      </c>
      <c r="T14" s="69">
        <f t="shared" si="3"/>
        <v>64.5</v>
      </c>
      <c r="U14" s="70">
        <f t="shared" si="4"/>
        <v>1.075</v>
      </c>
      <c r="V14" s="71">
        <f t="shared" si="5"/>
        <v>2.931818182</v>
      </c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ht="12.75" customHeight="1">
      <c r="A15" s="29"/>
      <c r="B15" s="55">
        <v>4.0</v>
      </c>
      <c r="C15" s="56" t="s">
        <v>155</v>
      </c>
      <c r="D15" s="56" t="s">
        <v>156</v>
      </c>
      <c r="E15" s="57" t="s">
        <v>131</v>
      </c>
      <c r="F15" s="58" t="s">
        <v>131</v>
      </c>
      <c r="G15" s="58" t="s">
        <v>131</v>
      </c>
      <c r="H15" s="72" t="s">
        <v>131</v>
      </c>
      <c r="I15" s="60"/>
      <c r="J15" s="61">
        <f>46.5/4.3</f>
        <v>10.81395349</v>
      </c>
      <c r="K15" s="61"/>
      <c r="L15" s="61"/>
      <c r="M15" s="62"/>
      <c r="N15" s="63">
        <v>8.0</v>
      </c>
      <c r="O15" s="73" t="s">
        <v>157</v>
      </c>
      <c r="P15" s="74" t="s">
        <v>158</v>
      </c>
      <c r="Q15" s="75" t="s">
        <v>133</v>
      </c>
      <c r="R15" s="76">
        <f t="shared" si="1"/>
        <v>46.5</v>
      </c>
      <c r="S15" s="68">
        <f t="shared" si="2"/>
        <v>1</v>
      </c>
      <c r="T15" s="69">
        <f t="shared" si="3"/>
        <v>372</v>
      </c>
      <c r="U15" s="70">
        <f t="shared" si="4"/>
        <v>6.2</v>
      </c>
      <c r="V15" s="71">
        <f t="shared" si="5"/>
        <v>16.90909091</v>
      </c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ht="12.75" customHeight="1">
      <c r="A16" s="29"/>
      <c r="B16" s="55">
        <v>5.0</v>
      </c>
      <c r="C16" s="94" t="s">
        <v>159</v>
      </c>
      <c r="D16" s="94" t="s">
        <v>160</v>
      </c>
      <c r="E16" s="55"/>
      <c r="F16" s="95" t="s">
        <v>131</v>
      </c>
      <c r="G16" s="95"/>
      <c r="H16" s="96" t="s">
        <v>131</v>
      </c>
      <c r="I16" s="97"/>
      <c r="J16" s="98"/>
      <c r="K16" s="98">
        <v>1.0</v>
      </c>
      <c r="L16" s="98"/>
      <c r="M16" s="99"/>
      <c r="N16" s="100">
        <v>5.0</v>
      </c>
      <c r="O16" s="101" t="s">
        <v>161</v>
      </c>
      <c r="P16" s="102" t="s">
        <v>162</v>
      </c>
      <c r="Q16" s="75" t="s">
        <v>133</v>
      </c>
      <c r="R16" s="76">
        <f t="shared" si="1"/>
        <v>2</v>
      </c>
      <c r="S16" s="68">
        <f t="shared" si="2"/>
        <v>1</v>
      </c>
      <c r="T16" s="69">
        <f t="shared" si="3"/>
        <v>10</v>
      </c>
      <c r="U16" s="70">
        <f t="shared" si="4"/>
        <v>0.1666666667</v>
      </c>
      <c r="V16" s="71">
        <f t="shared" si="5"/>
        <v>0.4545454545</v>
      </c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ht="12.75" customHeight="1">
      <c r="A17" s="29"/>
      <c r="B17" s="55">
        <v>6.0</v>
      </c>
      <c r="C17" s="56" t="s">
        <v>163</v>
      </c>
      <c r="D17" s="56" t="s">
        <v>164</v>
      </c>
      <c r="E17" s="57"/>
      <c r="F17" s="58" t="s">
        <v>131</v>
      </c>
      <c r="G17" s="58"/>
      <c r="H17" s="72" t="s">
        <v>131</v>
      </c>
      <c r="I17" s="60"/>
      <c r="J17" s="61"/>
      <c r="K17" s="61">
        <f>1100/2/3</f>
        <v>183.3333333</v>
      </c>
      <c r="L17" s="61"/>
      <c r="M17" s="62"/>
      <c r="N17" s="63">
        <v>3.0</v>
      </c>
      <c r="O17" s="73" t="s">
        <v>165</v>
      </c>
      <c r="P17" s="102" t="s">
        <v>166</v>
      </c>
      <c r="Q17" s="75" t="s">
        <v>133</v>
      </c>
      <c r="R17" s="76">
        <f t="shared" si="1"/>
        <v>366.6666667</v>
      </c>
      <c r="S17" s="68">
        <f t="shared" si="2"/>
        <v>1</v>
      </c>
      <c r="T17" s="69">
        <f t="shared" si="3"/>
        <v>1100</v>
      </c>
      <c r="U17" s="70">
        <f t="shared" si="4"/>
        <v>18.33333333</v>
      </c>
      <c r="V17" s="71">
        <f t="shared" si="5"/>
        <v>50</v>
      </c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ht="12.75" customHeight="1">
      <c r="A18" s="29"/>
      <c r="B18" s="55">
        <v>7.0</v>
      </c>
      <c r="C18" s="103" t="s">
        <v>167</v>
      </c>
      <c r="D18" s="103" t="s">
        <v>141</v>
      </c>
      <c r="E18" s="90" t="s">
        <v>131</v>
      </c>
      <c r="F18" s="91"/>
      <c r="G18" s="91"/>
      <c r="H18" s="92"/>
      <c r="I18" s="57"/>
      <c r="J18" s="61"/>
      <c r="K18" s="61"/>
      <c r="L18" s="61">
        <v>1.0</v>
      </c>
      <c r="M18" s="62"/>
      <c r="N18" s="63">
        <v>120.0</v>
      </c>
      <c r="O18" s="73" t="s">
        <v>168</v>
      </c>
      <c r="P18" s="74" t="s">
        <v>169</v>
      </c>
      <c r="Q18" s="75" t="s">
        <v>133</v>
      </c>
      <c r="R18" s="76">
        <f t="shared" si="1"/>
        <v>1</v>
      </c>
      <c r="S18" s="68">
        <f t="shared" si="2"/>
        <v>1</v>
      </c>
      <c r="T18" s="69">
        <f t="shared" si="3"/>
        <v>120</v>
      </c>
      <c r="U18" s="70">
        <f t="shared" si="4"/>
        <v>2</v>
      </c>
      <c r="V18" s="71">
        <f t="shared" si="5"/>
        <v>5.454545455</v>
      </c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ht="12.75" customHeight="1">
      <c r="A19" s="29"/>
      <c r="B19" s="55">
        <v>8.0</v>
      </c>
      <c r="C19" s="56" t="s">
        <v>159</v>
      </c>
      <c r="D19" s="56" t="s">
        <v>170</v>
      </c>
      <c r="E19" s="57"/>
      <c r="F19" s="58"/>
      <c r="G19" s="58"/>
      <c r="H19" s="72" t="s">
        <v>131</v>
      </c>
      <c r="I19" s="60"/>
      <c r="J19" s="61"/>
      <c r="K19" s="61"/>
      <c r="L19" s="61">
        <v>1.0</v>
      </c>
      <c r="M19" s="62"/>
      <c r="N19" s="63">
        <v>90.0</v>
      </c>
      <c r="O19" s="73" t="s">
        <v>171</v>
      </c>
      <c r="P19" s="74" t="s">
        <v>169</v>
      </c>
      <c r="Q19" s="75" t="s">
        <v>133</v>
      </c>
      <c r="R19" s="76">
        <f t="shared" si="1"/>
        <v>1</v>
      </c>
      <c r="S19" s="68">
        <f t="shared" si="2"/>
        <v>1</v>
      </c>
      <c r="T19" s="69">
        <f t="shared" si="3"/>
        <v>90</v>
      </c>
      <c r="U19" s="70">
        <f t="shared" si="4"/>
        <v>1.5</v>
      </c>
      <c r="V19" s="71">
        <f t="shared" si="5"/>
        <v>4.090909091</v>
      </c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ht="12.75" customHeight="1">
      <c r="A20" s="29"/>
      <c r="B20" s="55">
        <v>9.0</v>
      </c>
      <c r="C20" s="56" t="s">
        <v>172</v>
      </c>
      <c r="D20" s="56" t="s">
        <v>173</v>
      </c>
      <c r="E20" s="57" t="s">
        <v>131</v>
      </c>
      <c r="F20" s="58"/>
      <c r="G20" s="58"/>
      <c r="H20" s="72"/>
      <c r="I20" s="60"/>
      <c r="J20" s="61"/>
      <c r="K20" s="61"/>
      <c r="L20" s="61">
        <v>1.0</v>
      </c>
      <c r="M20" s="62"/>
      <c r="N20" s="63">
        <v>240.0</v>
      </c>
      <c r="O20" s="73" t="s">
        <v>174</v>
      </c>
      <c r="P20" s="102" t="s">
        <v>175</v>
      </c>
      <c r="Q20" s="75" t="s">
        <v>133</v>
      </c>
      <c r="R20" s="76">
        <f t="shared" si="1"/>
        <v>1</v>
      </c>
      <c r="S20" s="68">
        <f t="shared" si="2"/>
        <v>1</v>
      </c>
      <c r="T20" s="69">
        <f t="shared" si="3"/>
        <v>240</v>
      </c>
      <c r="U20" s="70">
        <f t="shared" si="4"/>
        <v>4</v>
      </c>
      <c r="V20" s="71">
        <f t="shared" si="5"/>
        <v>10.90909091</v>
      </c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ht="12.75" customHeight="1">
      <c r="A21" s="29"/>
      <c r="B21" s="55">
        <v>10.0</v>
      </c>
      <c r="C21" s="56" t="s">
        <v>143</v>
      </c>
      <c r="D21" s="56" t="s">
        <v>176</v>
      </c>
      <c r="E21" s="57"/>
      <c r="F21" s="58"/>
      <c r="G21" s="58"/>
      <c r="H21" s="72" t="s">
        <v>131</v>
      </c>
      <c r="I21" s="60"/>
      <c r="J21" s="61"/>
      <c r="K21" s="61"/>
      <c r="L21" s="61"/>
      <c r="M21" s="62">
        <v>2.0</v>
      </c>
      <c r="N21" s="63">
        <v>1200.0</v>
      </c>
      <c r="O21" s="73" t="s">
        <v>177</v>
      </c>
      <c r="P21" s="102" t="s">
        <v>178</v>
      </c>
      <c r="Q21" s="75" t="s">
        <v>133</v>
      </c>
      <c r="R21" s="76">
        <f t="shared" si="1"/>
        <v>0.1666666667</v>
      </c>
      <c r="S21" s="68">
        <f t="shared" si="2"/>
        <v>1</v>
      </c>
      <c r="T21" s="69">
        <f t="shared" si="3"/>
        <v>200</v>
      </c>
      <c r="U21" s="70">
        <f t="shared" si="4"/>
        <v>3.333333333</v>
      </c>
      <c r="V21" s="71">
        <f t="shared" si="5"/>
        <v>9.090909091</v>
      </c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ht="12.75" customHeight="1">
      <c r="A22" s="29"/>
      <c r="B22" s="55">
        <v>11.0</v>
      </c>
      <c r="C22" s="56" t="s">
        <v>179</v>
      </c>
      <c r="D22" s="56" t="s">
        <v>180</v>
      </c>
      <c r="E22" s="90"/>
      <c r="F22" s="91"/>
      <c r="G22" s="91"/>
      <c r="H22" s="92" t="s">
        <v>131</v>
      </c>
      <c r="I22" s="60"/>
      <c r="J22" s="61"/>
      <c r="K22" s="61"/>
      <c r="L22" s="61"/>
      <c r="M22" s="62">
        <v>1.0</v>
      </c>
      <c r="N22" s="63">
        <v>240.0</v>
      </c>
      <c r="O22" s="73" t="s">
        <v>181</v>
      </c>
      <c r="P22" s="74" t="s">
        <v>182</v>
      </c>
      <c r="Q22" s="75" t="s">
        <v>133</v>
      </c>
      <c r="R22" s="76">
        <f t="shared" si="1"/>
        <v>0.08333333333</v>
      </c>
      <c r="S22" s="68">
        <f t="shared" si="2"/>
        <v>1</v>
      </c>
      <c r="T22" s="69">
        <f t="shared" si="3"/>
        <v>20</v>
      </c>
      <c r="U22" s="70">
        <f t="shared" si="4"/>
        <v>0.3333333333</v>
      </c>
      <c r="V22" s="71">
        <f t="shared" si="5"/>
        <v>0.9090909091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ht="12.75" customHeight="1">
      <c r="A23" s="29"/>
      <c r="B23" s="55">
        <v>12.0</v>
      </c>
      <c r="C23" s="56"/>
      <c r="D23" s="56"/>
      <c r="E23" s="90"/>
      <c r="F23" s="91"/>
      <c r="G23" s="91"/>
      <c r="H23" s="92"/>
      <c r="I23" s="60"/>
      <c r="J23" s="61"/>
      <c r="K23" s="61"/>
      <c r="L23" s="61"/>
      <c r="M23" s="62"/>
      <c r="N23" s="63"/>
      <c r="O23" s="73"/>
      <c r="P23" s="104"/>
      <c r="Q23" s="75"/>
      <c r="R23" s="76">
        <f t="shared" si="1"/>
        <v>0</v>
      </c>
      <c r="S23" s="68">
        <f t="shared" si="2"/>
        <v>2</v>
      </c>
      <c r="T23" s="69">
        <f t="shared" si="3"/>
        <v>0</v>
      </c>
      <c r="U23" s="70">
        <f t="shared" si="4"/>
        <v>0</v>
      </c>
      <c r="V23" s="71">
        <f t="shared" si="5"/>
        <v>0</v>
      </c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ht="12.75" customHeight="1">
      <c r="A24" s="29"/>
      <c r="B24" s="55">
        <v>13.0</v>
      </c>
      <c r="C24" s="56"/>
      <c r="D24" s="56"/>
      <c r="E24" s="90"/>
      <c r="F24" s="91"/>
      <c r="G24" s="91"/>
      <c r="H24" s="92"/>
      <c r="I24" s="60"/>
      <c r="J24" s="61"/>
      <c r="K24" s="61"/>
      <c r="L24" s="61"/>
      <c r="M24" s="105"/>
      <c r="N24" s="63"/>
      <c r="O24" s="73"/>
      <c r="P24" s="104"/>
      <c r="Q24" s="75"/>
      <c r="R24" s="76">
        <f t="shared" si="1"/>
        <v>0</v>
      </c>
      <c r="S24" s="68">
        <f t="shared" si="2"/>
        <v>2</v>
      </c>
      <c r="T24" s="69">
        <f t="shared" si="3"/>
        <v>0</v>
      </c>
      <c r="U24" s="70">
        <f t="shared" si="4"/>
        <v>0</v>
      </c>
      <c r="V24" s="71">
        <f t="shared" si="5"/>
        <v>0</v>
      </c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ht="12.75" customHeight="1">
      <c r="A25" s="29"/>
      <c r="B25" s="55">
        <v>14.0</v>
      </c>
      <c r="C25" s="56"/>
      <c r="D25" s="56"/>
      <c r="E25" s="90"/>
      <c r="F25" s="91"/>
      <c r="G25" s="91"/>
      <c r="H25" s="92"/>
      <c r="I25" s="60"/>
      <c r="J25" s="61"/>
      <c r="K25" s="61"/>
      <c r="L25" s="61"/>
      <c r="M25" s="62"/>
      <c r="N25" s="63"/>
      <c r="O25" s="73"/>
      <c r="P25" s="104"/>
      <c r="Q25" s="75"/>
      <c r="R25" s="76">
        <f t="shared" si="1"/>
        <v>0</v>
      </c>
      <c r="S25" s="68">
        <f t="shared" si="2"/>
        <v>2</v>
      </c>
      <c r="T25" s="69">
        <f t="shared" si="3"/>
        <v>0</v>
      </c>
      <c r="U25" s="70">
        <f t="shared" si="4"/>
        <v>0</v>
      </c>
      <c r="V25" s="71">
        <f t="shared" si="5"/>
        <v>0</v>
      </c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ht="12.75" customHeight="1">
      <c r="A26" s="29"/>
      <c r="B26" s="106">
        <v>15.0</v>
      </c>
      <c r="C26" s="107"/>
      <c r="D26" s="107"/>
      <c r="E26" s="108"/>
      <c r="F26" s="109"/>
      <c r="G26" s="109"/>
      <c r="H26" s="110"/>
      <c r="I26" s="111"/>
      <c r="J26" s="112"/>
      <c r="K26" s="112"/>
      <c r="L26" s="112"/>
      <c r="M26" s="113"/>
      <c r="N26" s="114"/>
      <c r="O26" s="115"/>
      <c r="P26" s="116"/>
      <c r="Q26" s="117"/>
      <c r="R26" s="118">
        <f t="shared" si="1"/>
        <v>0</v>
      </c>
      <c r="S26" s="119">
        <f t="shared" si="2"/>
        <v>2</v>
      </c>
      <c r="T26" s="69">
        <f t="shared" si="3"/>
        <v>0</v>
      </c>
      <c r="U26" s="70">
        <f t="shared" si="4"/>
        <v>0</v>
      </c>
      <c r="V26" s="71">
        <f t="shared" si="5"/>
        <v>0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ht="12.75" customHeight="1">
      <c r="A27" s="29"/>
      <c r="B27" s="120"/>
      <c r="C27" s="120" t="s">
        <v>133</v>
      </c>
      <c r="D27" s="120" t="s">
        <v>133</v>
      </c>
      <c r="E27" s="120" t="s">
        <v>133</v>
      </c>
      <c r="F27" s="120" t="s">
        <v>133</v>
      </c>
      <c r="G27" s="120" t="s">
        <v>133</v>
      </c>
      <c r="H27" s="120" t="s">
        <v>133</v>
      </c>
      <c r="I27" s="120" t="s">
        <v>133</v>
      </c>
      <c r="J27" s="120" t="s">
        <v>133</v>
      </c>
      <c r="K27" s="120" t="s">
        <v>133</v>
      </c>
      <c r="L27" s="120" t="s">
        <v>133</v>
      </c>
      <c r="M27" s="120" t="s">
        <v>133</v>
      </c>
      <c r="N27" s="120" t="s">
        <v>133</v>
      </c>
      <c r="O27" s="120" t="s">
        <v>133</v>
      </c>
      <c r="P27" s="120" t="s">
        <v>133</v>
      </c>
      <c r="Q27" s="120" t="s">
        <v>133</v>
      </c>
      <c r="R27" s="120" t="s">
        <v>133</v>
      </c>
      <c r="S27" s="120" t="s">
        <v>133</v>
      </c>
      <c r="T27" s="120"/>
      <c r="U27" s="120"/>
      <c r="V27" s="120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ht="12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5"/>
      <c r="R28" s="36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5"/>
      <c r="R29" s="36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ht="12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5"/>
      <c r="R30" s="36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5"/>
      <c r="R31" s="36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ht="12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5"/>
      <c r="R32" s="36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ht="12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5"/>
      <c r="R33" s="36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5"/>
      <c r="R34" s="36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ht="12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5"/>
      <c r="R35" s="36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5"/>
      <c r="R36" s="36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5"/>
      <c r="R37" s="36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ht="12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35"/>
      <c r="R38" s="36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5"/>
      <c r="R39" s="36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ht="12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5"/>
      <c r="R40" s="36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ht="12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5"/>
      <c r="R41" s="36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ht="12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5"/>
      <c r="R42" s="36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ht="12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35"/>
      <c r="R43" s="36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ht="12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35"/>
      <c r="R44" s="36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ht="12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5"/>
      <c r="R45" s="36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ht="12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5"/>
      <c r="R46" s="36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7" ht="12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35"/>
      <c r="R47" s="36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</row>
    <row r="48" ht="12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5"/>
      <c r="R48" s="36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</row>
    <row r="49" ht="12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5"/>
      <c r="R49" s="36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</row>
    <row r="50" ht="12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35"/>
      <c r="R50" s="36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</row>
    <row r="51" ht="12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5"/>
      <c r="R51" s="36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</row>
    <row r="52" ht="12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35"/>
      <c r="R52" s="36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</row>
    <row r="53" ht="12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35"/>
      <c r="R53" s="36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</row>
    <row r="54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35"/>
      <c r="R54" s="36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</row>
    <row r="55" ht="12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35"/>
      <c r="R55" s="36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</row>
    <row r="56" ht="12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35"/>
      <c r="R56" s="36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</row>
    <row r="57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35"/>
      <c r="R57" s="36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</row>
    <row r="58" ht="12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35"/>
      <c r="R58" s="36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</row>
    <row r="59" ht="12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5"/>
      <c r="R59" s="36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ht="12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35"/>
      <c r="R60" s="36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</row>
    <row r="61" ht="12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35"/>
      <c r="R61" s="36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</row>
    <row r="62" ht="12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5"/>
      <c r="R62" s="36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</row>
    <row r="63" ht="12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35"/>
      <c r="R63" s="36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</row>
    <row r="64" ht="12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35"/>
      <c r="R64" s="36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</row>
    <row r="65" ht="12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35"/>
      <c r="R65" s="36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</row>
    <row r="66" ht="12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35"/>
      <c r="R66" s="36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</row>
    <row r="67" ht="12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35"/>
      <c r="R67" s="36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</row>
    <row r="68" ht="12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35"/>
      <c r="R68" s="36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</row>
    <row r="69" ht="12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35"/>
      <c r="R69" s="36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</row>
    <row r="70" ht="12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35"/>
      <c r="R70" s="36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</row>
    <row r="71" ht="12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35"/>
      <c r="R71" s="36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ht="12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35"/>
      <c r="R72" s="36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</row>
    <row r="73" ht="12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35"/>
      <c r="R73" s="36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</row>
    <row r="74" ht="12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35"/>
      <c r="R74" s="36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</row>
    <row r="75" ht="12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35"/>
      <c r="R75" s="36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</row>
    <row r="76" ht="12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35"/>
      <c r="R76" s="36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</row>
    <row r="77" ht="12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35"/>
      <c r="R77" s="36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</row>
    <row r="78" ht="12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35"/>
      <c r="R78" s="36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</row>
    <row r="79" ht="12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35"/>
      <c r="R79" s="36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</row>
    <row r="80" ht="12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35"/>
      <c r="R80" s="36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</row>
    <row r="81" ht="12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35"/>
      <c r="R81" s="36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</row>
    <row r="82" ht="12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35"/>
      <c r="R82" s="36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</row>
    <row r="83" ht="12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35"/>
      <c r="R83" s="36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</row>
    <row r="84" ht="12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35"/>
      <c r="R84" s="36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</row>
    <row r="85" ht="12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35"/>
      <c r="R85" s="36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</row>
    <row r="86" ht="12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35"/>
      <c r="R86" s="36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</row>
    <row r="87" ht="12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35"/>
      <c r="R87" s="36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</row>
    <row r="88" ht="12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35"/>
      <c r="R88" s="36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</row>
    <row r="89" ht="12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35"/>
      <c r="R89" s="36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</row>
    <row r="90" ht="12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35"/>
      <c r="R90" s="36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</row>
    <row r="91" ht="12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35"/>
      <c r="R91" s="36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</row>
    <row r="92" ht="12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35"/>
      <c r="R92" s="36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</row>
    <row r="93" ht="12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35"/>
      <c r="R93" s="36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</row>
    <row r="94" ht="12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35"/>
      <c r="R94" s="36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</row>
    <row r="95" ht="12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35"/>
      <c r="R95" s="36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</row>
    <row r="96" ht="12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5"/>
      <c r="R96" s="36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ht="12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35"/>
      <c r="R97" s="36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ht="12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35"/>
      <c r="R98" s="36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ht="12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35"/>
      <c r="R99" s="36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0" ht="12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35"/>
      <c r="R100" s="36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</row>
    <row r="101" ht="12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35"/>
      <c r="R101" s="36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</row>
    <row r="102" ht="12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35"/>
      <c r="R102" s="36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</row>
    <row r="103" ht="12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35"/>
      <c r="R103" s="36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</row>
    <row r="104" ht="12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35"/>
      <c r="R104" s="36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</row>
    <row r="105" ht="12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5"/>
      <c r="R105" s="36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</row>
    <row r="106" ht="12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35"/>
      <c r="R106" s="36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</row>
    <row r="107" ht="12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35"/>
      <c r="R107" s="36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</row>
    <row r="108" ht="12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35"/>
      <c r="R108" s="36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</row>
    <row r="109" ht="12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35"/>
      <c r="R109" s="36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</row>
    <row r="110" ht="12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35"/>
      <c r="R110" s="36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</row>
    <row r="111" ht="12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35"/>
      <c r="R111" s="36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</row>
    <row r="112" ht="12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35"/>
      <c r="R112" s="36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</row>
    <row r="113" ht="12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35"/>
      <c r="R113" s="36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</row>
    <row r="114" ht="12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35"/>
      <c r="R114" s="36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</row>
    <row r="115" ht="12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35"/>
      <c r="R115" s="36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</row>
    <row r="116" ht="12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35"/>
      <c r="R116" s="36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</row>
    <row r="117" ht="12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35"/>
      <c r="R117" s="36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</row>
    <row r="118" ht="12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35"/>
      <c r="R118" s="36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</row>
    <row r="119" ht="12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35"/>
      <c r="R119" s="36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</row>
    <row r="120" ht="12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35"/>
      <c r="R120" s="36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</row>
    <row r="121" ht="12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35"/>
      <c r="R121" s="36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</row>
    <row r="122" ht="12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35"/>
      <c r="R122" s="36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</row>
    <row r="123" ht="12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35"/>
      <c r="R123" s="36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</row>
    <row r="124" ht="12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35"/>
      <c r="R124" s="36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</row>
    <row r="125" ht="12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35"/>
      <c r="R125" s="36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</row>
    <row r="126" ht="12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35"/>
      <c r="R126" s="36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</row>
    <row r="127" ht="12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35"/>
      <c r="R127" s="36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</row>
    <row r="128" ht="12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35"/>
      <c r="R128" s="36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</row>
    <row r="129" ht="12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35"/>
      <c r="R129" s="36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</row>
    <row r="130" ht="12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35"/>
      <c r="R130" s="36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</row>
    <row r="131" ht="12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35"/>
      <c r="R131" s="36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</row>
    <row r="132" ht="12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35"/>
      <c r="R132" s="36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</row>
    <row r="133" ht="12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35"/>
      <c r="R133" s="36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</row>
    <row r="134" ht="12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35"/>
      <c r="R134" s="36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</row>
    <row r="135" ht="12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35"/>
      <c r="R135" s="36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</row>
    <row r="136" ht="12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35"/>
      <c r="R136" s="36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</row>
    <row r="137" ht="12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35"/>
      <c r="R137" s="36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</row>
    <row r="138" ht="12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35"/>
      <c r="R138" s="36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</row>
    <row r="139" ht="12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35"/>
      <c r="R139" s="36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</row>
    <row r="140" ht="12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35"/>
      <c r="R140" s="36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</row>
    <row r="141" ht="12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35"/>
      <c r="R141" s="36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</row>
    <row r="142" ht="12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35"/>
      <c r="R142" s="36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</row>
    <row r="143" ht="12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35"/>
      <c r="R143" s="36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</row>
    <row r="144" ht="12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35"/>
      <c r="R144" s="36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</row>
    <row r="145" ht="12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35"/>
      <c r="R145" s="36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</row>
    <row r="146" ht="12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35"/>
      <c r="R146" s="36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</row>
    <row r="147" ht="12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35"/>
      <c r="R147" s="36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</row>
    <row r="148" ht="12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35"/>
      <c r="R148" s="36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</row>
    <row r="149" ht="12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35"/>
      <c r="R149" s="36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</row>
    <row r="150" ht="12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35"/>
      <c r="R150" s="36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</row>
    <row r="151" ht="12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35"/>
      <c r="R151" s="36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</row>
    <row r="152" ht="12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35"/>
      <c r="R152" s="36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</row>
    <row r="153" ht="12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35"/>
      <c r="R153" s="36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</row>
    <row r="154" ht="12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35"/>
      <c r="R154" s="36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</row>
    <row r="155" ht="12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35"/>
      <c r="R155" s="36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</row>
    <row r="156" ht="12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35"/>
      <c r="R156" s="36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</row>
    <row r="157" ht="12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35"/>
      <c r="R157" s="36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</row>
    <row r="158" ht="12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35"/>
      <c r="R158" s="36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</row>
    <row r="159" ht="12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35"/>
      <c r="R159" s="36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</row>
    <row r="160" ht="12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35"/>
      <c r="R160" s="36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</row>
    <row r="161" ht="12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35"/>
      <c r="R161" s="36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</row>
    <row r="162" ht="12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35"/>
      <c r="R162" s="36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</row>
    <row r="163" ht="12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35"/>
      <c r="R163" s="36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</row>
    <row r="164" ht="12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35"/>
      <c r="R164" s="36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</row>
    <row r="165" ht="12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35"/>
      <c r="R165" s="36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</row>
    <row r="166" ht="12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35"/>
      <c r="R166" s="36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</row>
    <row r="167" ht="12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35"/>
      <c r="R167" s="36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</row>
    <row r="168" ht="12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35"/>
      <c r="R168" s="36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</row>
    <row r="169" ht="12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35"/>
      <c r="R169" s="36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</row>
    <row r="170" ht="12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35"/>
      <c r="R170" s="36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</row>
    <row r="171" ht="12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35"/>
      <c r="R171" s="36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</row>
    <row r="172" ht="12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35"/>
      <c r="R172" s="36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</row>
    <row r="173" ht="12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35"/>
      <c r="R173" s="36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</row>
    <row r="174" ht="12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35"/>
      <c r="R174" s="36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</row>
    <row r="175" ht="12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35"/>
      <c r="R175" s="36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</row>
    <row r="176" ht="12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35"/>
      <c r="R176" s="36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</row>
    <row r="177" ht="12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35"/>
      <c r="R177" s="36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</row>
    <row r="178" ht="12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35"/>
      <c r="R178" s="36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</row>
    <row r="179" ht="12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35"/>
      <c r="R179" s="36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</row>
    <row r="180" ht="12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35"/>
      <c r="R180" s="36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</row>
    <row r="181" ht="12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35"/>
      <c r="R181" s="36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</row>
    <row r="182" ht="12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35"/>
      <c r="R182" s="36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</row>
    <row r="183" ht="12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35"/>
      <c r="R183" s="36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</row>
    <row r="184" ht="12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35"/>
      <c r="R184" s="36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</row>
    <row r="185" ht="12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35"/>
      <c r="R185" s="36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</row>
    <row r="186" ht="12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35"/>
      <c r="R186" s="36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</row>
    <row r="187" ht="12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35"/>
      <c r="R187" s="36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</row>
    <row r="188" ht="12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35"/>
      <c r="R188" s="36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</row>
    <row r="189" ht="12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35"/>
      <c r="R189" s="36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</row>
    <row r="190" ht="12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35"/>
      <c r="R190" s="36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</row>
    <row r="191" ht="12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35"/>
      <c r="R191" s="36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</row>
    <row r="192" ht="12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35"/>
      <c r="R192" s="36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</row>
    <row r="193" ht="12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35"/>
      <c r="R193" s="36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</row>
    <row r="194" ht="12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35"/>
      <c r="R194" s="36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</row>
    <row r="195" ht="12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35"/>
      <c r="R195" s="36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</row>
    <row r="196" ht="12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35"/>
      <c r="R196" s="36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</row>
    <row r="197" ht="12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35"/>
      <c r="R197" s="36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</row>
    <row r="198" ht="12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35"/>
      <c r="R198" s="36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</row>
    <row r="199" ht="12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35"/>
      <c r="R199" s="36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</row>
    <row r="200" ht="12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35"/>
      <c r="R200" s="36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</row>
    <row r="201" ht="12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35"/>
      <c r="R201" s="36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</row>
    <row r="202" ht="12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35"/>
      <c r="R202" s="36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</row>
    <row r="203" ht="12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35"/>
      <c r="R203" s="36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</row>
    <row r="204" ht="12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35"/>
      <c r="R204" s="36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</row>
    <row r="205" ht="12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35"/>
      <c r="R205" s="36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</row>
    <row r="206" ht="12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35"/>
      <c r="R206" s="36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</row>
    <row r="207" ht="12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35"/>
      <c r="R207" s="36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</row>
    <row r="208" ht="12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35"/>
      <c r="R208" s="36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</row>
    <row r="209" ht="12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35"/>
      <c r="R209" s="36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</row>
    <row r="210" ht="12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35"/>
      <c r="R210" s="36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</row>
    <row r="211" ht="12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35"/>
      <c r="R211" s="36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</row>
    <row r="212" ht="12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35"/>
      <c r="R212" s="36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</row>
    <row r="213" ht="12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35"/>
      <c r="R213" s="36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</row>
    <row r="214" ht="12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35"/>
      <c r="R214" s="36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</row>
    <row r="215" ht="12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35"/>
      <c r="R215" s="36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</row>
    <row r="216" ht="12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35"/>
      <c r="R216" s="36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</row>
    <row r="217" ht="12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35"/>
      <c r="R217" s="36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</row>
    <row r="218" ht="12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35"/>
      <c r="R218" s="36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</row>
    <row r="219" ht="12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35"/>
      <c r="R219" s="36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</row>
    <row r="220" ht="12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35"/>
      <c r="R220" s="36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</row>
    <row r="221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35"/>
      <c r="R221" s="36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</row>
    <row r="222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35"/>
      <c r="R222" s="36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</row>
    <row r="223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35"/>
      <c r="R223" s="36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</row>
    <row r="224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35"/>
      <c r="R224" s="36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</row>
    <row r="225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35"/>
      <c r="R225" s="36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</row>
    <row r="226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35"/>
      <c r="R226" s="36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</row>
    <row r="227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35"/>
      <c r="R227" s="36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</row>
    <row r="228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35"/>
      <c r="R228" s="36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</row>
    <row r="229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35"/>
      <c r="R229" s="36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</row>
    <row r="230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35"/>
      <c r="R230" s="36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</row>
    <row r="231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35"/>
      <c r="R231" s="36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</row>
    <row r="232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35"/>
      <c r="R232" s="36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</row>
    <row r="233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35"/>
      <c r="R233" s="36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</row>
    <row r="234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35"/>
      <c r="R234" s="36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</row>
    <row r="235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35"/>
      <c r="R235" s="36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</row>
    <row r="236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35"/>
      <c r="R236" s="36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</row>
    <row r="237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35"/>
      <c r="R237" s="36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</row>
    <row r="238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35"/>
      <c r="R238" s="36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</row>
    <row r="239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35"/>
      <c r="R239" s="36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</row>
    <row r="240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35"/>
      <c r="R240" s="36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</row>
    <row r="241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35"/>
      <c r="R241" s="36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</row>
    <row r="242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35"/>
      <c r="R242" s="36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</row>
    <row r="243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35"/>
      <c r="R243" s="36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</row>
    <row r="244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35"/>
      <c r="R244" s="36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</row>
    <row r="245" ht="12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35"/>
      <c r="R245" s="36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</row>
    <row r="246" ht="12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35"/>
      <c r="R246" s="36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</row>
    <row r="247" ht="12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35"/>
      <c r="R247" s="36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</row>
    <row r="248" ht="12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35"/>
      <c r="R248" s="36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</row>
    <row r="249" ht="12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35"/>
      <c r="R249" s="36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</row>
    <row r="250" ht="12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35"/>
      <c r="R250" s="36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</row>
    <row r="251" ht="12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35"/>
      <c r="R251" s="36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</row>
    <row r="252" ht="12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35"/>
      <c r="R252" s="36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</row>
    <row r="253" ht="12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35"/>
      <c r="R253" s="36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</row>
    <row r="254" ht="12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35"/>
      <c r="R254" s="36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</row>
    <row r="255" ht="12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35"/>
      <c r="R255" s="36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</row>
    <row r="256" ht="12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35"/>
      <c r="R256" s="36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</row>
    <row r="257" ht="12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35"/>
      <c r="R257" s="36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</row>
    <row r="258" ht="12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35"/>
      <c r="R258" s="36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</row>
    <row r="259" ht="12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35"/>
      <c r="R259" s="36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</row>
    <row r="260" ht="12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35"/>
      <c r="R260" s="36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</row>
    <row r="261" ht="12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35"/>
      <c r="R261" s="36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</row>
    <row r="262" ht="12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35"/>
      <c r="R262" s="36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</row>
    <row r="263" ht="12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35"/>
      <c r="R263" s="36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</row>
    <row r="264" ht="12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35"/>
      <c r="R264" s="36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</row>
    <row r="265" ht="12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35"/>
      <c r="R265" s="36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</row>
    <row r="266" ht="12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35"/>
      <c r="R266" s="36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</row>
    <row r="267" ht="12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35"/>
      <c r="R267" s="36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</row>
    <row r="268" ht="12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35"/>
      <c r="R268" s="36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</row>
    <row r="269" ht="12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35"/>
      <c r="R269" s="36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</row>
    <row r="270" ht="12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35"/>
      <c r="R270" s="36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</row>
    <row r="271" ht="12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35"/>
      <c r="R271" s="36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</row>
    <row r="272" ht="12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35"/>
      <c r="R272" s="36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</row>
    <row r="273" ht="12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35"/>
      <c r="R273" s="36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</row>
    <row r="274" ht="12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35"/>
      <c r="R274" s="36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</row>
    <row r="275" ht="12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35"/>
      <c r="R275" s="36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</row>
    <row r="276" ht="12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35"/>
      <c r="R276" s="36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</row>
    <row r="277" ht="12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35"/>
      <c r="R277" s="36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</row>
    <row r="278" ht="12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35"/>
      <c r="R278" s="36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</row>
    <row r="279" ht="12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35"/>
      <c r="R279" s="36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</row>
    <row r="280" ht="12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35"/>
      <c r="R280" s="36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</row>
    <row r="281" ht="12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35"/>
      <c r="R281" s="36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</row>
    <row r="282" ht="12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35"/>
      <c r="R282" s="36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</row>
    <row r="283" ht="12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35"/>
      <c r="R283" s="36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</row>
    <row r="284" ht="12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35"/>
      <c r="R284" s="36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</row>
    <row r="285" ht="12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35"/>
      <c r="R285" s="36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</row>
    <row r="286" ht="12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35"/>
      <c r="R286" s="36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</row>
    <row r="287" ht="12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35"/>
      <c r="R287" s="36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</row>
    <row r="288" ht="12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35"/>
      <c r="R288" s="36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</row>
    <row r="289" ht="12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35"/>
      <c r="R289" s="36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</row>
    <row r="290" ht="12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35"/>
      <c r="R290" s="36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</row>
    <row r="291" ht="12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35"/>
      <c r="R291" s="36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</row>
    <row r="292" ht="12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35"/>
      <c r="R292" s="36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</row>
    <row r="293" ht="12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35"/>
      <c r="R293" s="36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</row>
    <row r="294" ht="12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35"/>
      <c r="R294" s="36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</row>
    <row r="295" ht="12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35"/>
      <c r="R295" s="36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</row>
    <row r="296" ht="12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35"/>
      <c r="R296" s="36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</row>
    <row r="297" ht="12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35"/>
      <c r="R297" s="36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</row>
    <row r="298" ht="12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35"/>
      <c r="R298" s="36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</row>
    <row r="299" ht="12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35"/>
      <c r="R299" s="36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</row>
    <row r="300" ht="12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35"/>
      <c r="R300" s="36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</row>
    <row r="301" ht="12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35"/>
      <c r="R301" s="36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</row>
    <row r="302" ht="12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35"/>
      <c r="R302" s="36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</row>
    <row r="303" ht="12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35"/>
      <c r="R303" s="36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</row>
    <row r="304" ht="12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35"/>
      <c r="R304" s="36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</row>
    <row r="305" ht="12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35"/>
      <c r="R305" s="36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</row>
    <row r="306" ht="12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35"/>
      <c r="R306" s="36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</row>
    <row r="307" ht="12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35"/>
      <c r="R307" s="36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</row>
    <row r="308" ht="12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35"/>
      <c r="R308" s="36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</row>
    <row r="309" ht="12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35"/>
      <c r="R309" s="36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</row>
    <row r="310" ht="12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35"/>
      <c r="R310" s="36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</row>
    <row r="311" ht="12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35"/>
      <c r="R311" s="36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</row>
    <row r="312" ht="12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35"/>
      <c r="R312" s="36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</row>
    <row r="313" ht="12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35"/>
      <c r="R313" s="36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</row>
    <row r="314" ht="12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35"/>
      <c r="R314" s="36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</row>
    <row r="315" ht="12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35"/>
      <c r="R315" s="36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</row>
    <row r="316" ht="12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35"/>
      <c r="R316" s="36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</row>
    <row r="317" ht="12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35"/>
      <c r="R317" s="36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</row>
    <row r="318" ht="12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35"/>
      <c r="R318" s="36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</row>
    <row r="319" ht="12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35"/>
      <c r="R319" s="36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</row>
    <row r="320" ht="12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35"/>
      <c r="R320" s="36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</row>
    <row r="321" ht="12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35"/>
      <c r="R321" s="36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</row>
    <row r="322" ht="12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35"/>
      <c r="R322" s="36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</row>
    <row r="323" ht="12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35"/>
      <c r="R323" s="36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</row>
    <row r="324" ht="12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35"/>
      <c r="R324" s="36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</row>
    <row r="325" ht="12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35"/>
      <c r="R325" s="36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</row>
    <row r="326" ht="12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35"/>
      <c r="R326" s="36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</row>
    <row r="327" ht="12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35"/>
      <c r="R327" s="36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</row>
    <row r="328" ht="12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35"/>
      <c r="R328" s="36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</row>
    <row r="329" ht="12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35"/>
      <c r="R329" s="36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</row>
    <row r="330" ht="12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35"/>
      <c r="R330" s="36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</row>
    <row r="331" ht="12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35"/>
      <c r="R331" s="36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</row>
    <row r="332" ht="12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35"/>
      <c r="R332" s="36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</row>
    <row r="333" ht="12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35"/>
      <c r="R333" s="36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</row>
    <row r="334" ht="12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35"/>
      <c r="R334" s="36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</row>
    <row r="335" ht="12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35"/>
      <c r="R335" s="36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</row>
    <row r="336" ht="12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35"/>
      <c r="R336" s="36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</row>
    <row r="337" ht="12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35"/>
      <c r="R337" s="36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</row>
    <row r="338" ht="12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35"/>
      <c r="R338" s="36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</row>
    <row r="339" ht="12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35"/>
      <c r="R339" s="36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</row>
    <row r="340" ht="12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35"/>
      <c r="R340" s="36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</row>
    <row r="341" ht="12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35"/>
      <c r="R341" s="36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</row>
    <row r="342" ht="12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35"/>
      <c r="R342" s="36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</row>
    <row r="343" ht="12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35"/>
      <c r="R343" s="36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</row>
    <row r="344" ht="12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35"/>
      <c r="R344" s="36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</row>
    <row r="345" ht="12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35"/>
      <c r="R345" s="36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</row>
    <row r="346" ht="12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35"/>
      <c r="R346" s="36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</row>
    <row r="347" ht="12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35"/>
      <c r="R347" s="36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</row>
    <row r="348" ht="12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35"/>
      <c r="R348" s="36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</row>
    <row r="349" ht="12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35"/>
      <c r="R349" s="36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</row>
    <row r="350" ht="12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35"/>
      <c r="R350" s="36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</row>
    <row r="351" ht="12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35"/>
      <c r="R351" s="36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</row>
    <row r="352" ht="12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35"/>
      <c r="R352" s="36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</row>
    <row r="353" ht="12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35"/>
      <c r="R353" s="36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</row>
    <row r="354" ht="12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35"/>
      <c r="R354" s="36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</row>
    <row r="355" ht="12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35"/>
      <c r="R355" s="36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</row>
    <row r="356" ht="12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35"/>
      <c r="R356" s="36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</row>
    <row r="357" ht="12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35"/>
      <c r="R357" s="36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</row>
    <row r="358" ht="12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35"/>
      <c r="R358" s="36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</row>
    <row r="359" ht="12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35"/>
      <c r="R359" s="36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</row>
    <row r="360" ht="12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35"/>
      <c r="R360" s="36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</row>
    <row r="361" ht="12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35"/>
      <c r="R361" s="36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</row>
    <row r="362" ht="12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35"/>
      <c r="R362" s="36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</row>
    <row r="363" ht="12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35"/>
      <c r="R363" s="36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</row>
    <row r="364" ht="12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35"/>
      <c r="R364" s="36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</row>
    <row r="365" ht="12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35"/>
      <c r="R365" s="36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</row>
    <row r="366" ht="12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35"/>
      <c r="R366" s="36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</row>
    <row r="367" ht="12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35"/>
      <c r="R367" s="36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</row>
    <row r="368" ht="12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35"/>
      <c r="R368" s="36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</row>
    <row r="369" ht="12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35"/>
      <c r="R369" s="36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</row>
    <row r="370" ht="12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35"/>
      <c r="R370" s="36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</row>
    <row r="371" ht="12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35"/>
      <c r="R371" s="36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</row>
    <row r="372" ht="12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35"/>
      <c r="R372" s="36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</row>
    <row r="373" ht="12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35"/>
      <c r="R373" s="36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</row>
    <row r="374" ht="12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35"/>
      <c r="R374" s="36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</row>
    <row r="375" ht="12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35"/>
      <c r="R375" s="36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</row>
    <row r="376" ht="12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35"/>
      <c r="R376" s="36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</row>
    <row r="377" ht="12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35"/>
      <c r="R377" s="36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</row>
    <row r="378" ht="12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35"/>
      <c r="R378" s="36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</row>
    <row r="379" ht="12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35"/>
      <c r="R379" s="36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</row>
    <row r="380" ht="12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35"/>
      <c r="R380" s="36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</row>
    <row r="381" ht="12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35"/>
      <c r="R381" s="36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</row>
    <row r="382" ht="12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35"/>
      <c r="R382" s="36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</row>
    <row r="383" ht="12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35"/>
      <c r="R383" s="36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</row>
    <row r="384" ht="12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35"/>
      <c r="R384" s="36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</row>
    <row r="385" ht="12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35"/>
      <c r="R385" s="36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</row>
    <row r="386" ht="12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35"/>
      <c r="R386" s="36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</row>
    <row r="387" ht="12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35"/>
      <c r="R387" s="36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</row>
    <row r="388" ht="12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35"/>
      <c r="R388" s="36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</row>
    <row r="389" ht="12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35"/>
      <c r="R389" s="36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</row>
    <row r="390" ht="12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35"/>
      <c r="R390" s="36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</row>
    <row r="391" ht="12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35"/>
      <c r="R391" s="36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</row>
    <row r="392" ht="12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35"/>
      <c r="R392" s="36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</row>
    <row r="393" ht="12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35"/>
      <c r="R393" s="36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</row>
    <row r="394" ht="12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35"/>
      <c r="R394" s="36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</row>
    <row r="395" ht="12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35"/>
      <c r="R395" s="36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</row>
    <row r="396" ht="12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35"/>
      <c r="R396" s="36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</row>
    <row r="397" ht="12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35"/>
      <c r="R397" s="36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</row>
    <row r="398" ht="12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35"/>
      <c r="R398" s="36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</row>
    <row r="399" ht="12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35"/>
      <c r="R399" s="36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</row>
    <row r="400" ht="12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35"/>
      <c r="R400" s="36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</row>
    <row r="401" ht="12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35"/>
      <c r="R401" s="36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</row>
    <row r="402" ht="12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35"/>
      <c r="R402" s="36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</row>
    <row r="403" ht="12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35"/>
      <c r="R403" s="36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</row>
    <row r="404" ht="12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35"/>
      <c r="R404" s="36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</row>
    <row r="405" ht="12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35"/>
      <c r="R405" s="36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</row>
    <row r="406" ht="12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35"/>
      <c r="R406" s="36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</row>
    <row r="407" ht="12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35"/>
      <c r="R407" s="36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</row>
    <row r="408" ht="12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35"/>
      <c r="R408" s="36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</row>
    <row r="409" ht="12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35"/>
      <c r="R409" s="36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</row>
    <row r="410" ht="12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35"/>
      <c r="R410" s="36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</row>
    <row r="411" ht="12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35"/>
      <c r="R411" s="36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</row>
    <row r="412" ht="12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35"/>
      <c r="R412" s="36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</row>
    <row r="413" ht="12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35"/>
      <c r="R413" s="36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</row>
    <row r="414" ht="12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35"/>
      <c r="R414" s="36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</row>
    <row r="415" ht="12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35"/>
      <c r="R415" s="36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</row>
    <row r="416" ht="12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35"/>
      <c r="R416" s="36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</row>
    <row r="417" ht="12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35"/>
      <c r="R417" s="36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</row>
    <row r="418" ht="12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35"/>
      <c r="R418" s="36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</row>
    <row r="419" ht="12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35"/>
      <c r="R419" s="36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</row>
    <row r="420" ht="12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35"/>
      <c r="R420" s="36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</row>
    <row r="421" ht="12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35"/>
      <c r="R421" s="36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</row>
    <row r="422" ht="12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35"/>
      <c r="R422" s="36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</row>
    <row r="423" ht="12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35"/>
      <c r="R423" s="36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</row>
    <row r="424" ht="12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35"/>
      <c r="R424" s="36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</row>
    <row r="425" ht="12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35"/>
      <c r="R425" s="36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</row>
    <row r="426" ht="12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35"/>
      <c r="R426" s="36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</row>
    <row r="427" ht="12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35"/>
      <c r="R427" s="36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</row>
    <row r="428" ht="12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35"/>
      <c r="R428" s="36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</row>
    <row r="429" ht="12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35"/>
      <c r="R429" s="36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</row>
    <row r="430" ht="12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35"/>
      <c r="R430" s="36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</row>
    <row r="431" ht="12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35"/>
      <c r="R431" s="36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</row>
    <row r="432" ht="12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35"/>
      <c r="R432" s="36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</row>
    <row r="433" ht="12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35"/>
      <c r="R433" s="36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</row>
    <row r="434" ht="12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35"/>
      <c r="R434" s="36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</row>
    <row r="435" ht="12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35"/>
      <c r="R435" s="36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</row>
    <row r="436" ht="12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35"/>
      <c r="R436" s="36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</row>
    <row r="437" ht="12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35"/>
      <c r="R437" s="36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</row>
    <row r="438" ht="12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35"/>
      <c r="R438" s="36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</row>
    <row r="439" ht="12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35"/>
      <c r="R439" s="36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</row>
    <row r="440" ht="12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35"/>
      <c r="R440" s="36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</row>
    <row r="441" ht="12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35"/>
      <c r="R441" s="36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</row>
    <row r="442" ht="12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35"/>
      <c r="R442" s="36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</row>
    <row r="443" ht="12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35"/>
      <c r="R443" s="36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</row>
    <row r="444" ht="12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35"/>
      <c r="R444" s="36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</row>
    <row r="445" ht="12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35"/>
      <c r="R445" s="36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</row>
    <row r="446" ht="12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35"/>
      <c r="R446" s="36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</row>
    <row r="447" ht="12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35"/>
      <c r="R447" s="36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</row>
    <row r="448" ht="12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35"/>
      <c r="R448" s="36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</row>
    <row r="449" ht="12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35"/>
      <c r="R449" s="36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</row>
    <row r="450" ht="12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35"/>
      <c r="R450" s="36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</row>
    <row r="451" ht="12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35"/>
      <c r="R451" s="36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</row>
    <row r="452" ht="12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35"/>
      <c r="R452" s="36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</row>
    <row r="453" ht="12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35"/>
      <c r="R453" s="36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</row>
    <row r="454" ht="12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35"/>
      <c r="R454" s="36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</row>
    <row r="455" ht="12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35"/>
      <c r="R455" s="36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</row>
    <row r="456" ht="12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35"/>
      <c r="R456" s="36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</row>
    <row r="457" ht="12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35"/>
      <c r="R457" s="36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</row>
    <row r="458" ht="12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35"/>
      <c r="R458" s="36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</row>
    <row r="459" ht="12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35"/>
      <c r="R459" s="36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</row>
    <row r="460" ht="12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35"/>
      <c r="R460" s="36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</row>
    <row r="461" ht="12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35"/>
      <c r="R461" s="36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</row>
    <row r="462" ht="12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35"/>
      <c r="R462" s="36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</row>
    <row r="463" ht="12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35"/>
      <c r="R463" s="36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</row>
    <row r="464" ht="12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35"/>
      <c r="R464" s="36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</row>
    <row r="465" ht="12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35"/>
      <c r="R465" s="36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</row>
    <row r="466" ht="12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35"/>
      <c r="R466" s="36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</row>
    <row r="467" ht="12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35"/>
      <c r="R467" s="36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</row>
    <row r="468" ht="12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35"/>
      <c r="R468" s="36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</row>
    <row r="469" ht="12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35"/>
      <c r="R469" s="36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</row>
    <row r="470" ht="12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35"/>
      <c r="R470" s="36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</row>
    <row r="471" ht="12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35"/>
      <c r="R471" s="36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</row>
    <row r="472" ht="12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35"/>
      <c r="R472" s="36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</row>
    <row r="473" ht="12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35"/>
      <c r="R473" s="36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</row>
    <row r="474" ht="12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35"/>
      <c r="R474" s="36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</row>
    <row r="475" ht="12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35"/>
      <c r="R475" s="36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</row>
    <row r="476" ht="12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35"/>
      <c r="R476" s="36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</row>
    <row r="477" ht="12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35"/>
      <c r="R477" s="36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</row>
    <row r="478" ht="12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35"/>
      <c r="R478" s="36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</row>
    <row r="479" ht="12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35"/>
      <c r="R479" s="36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</row>
    <row r="480" ht="12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35"/>
      <c r="R480" s="36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</row>
    <row r="481" ht="12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35"/>
      <c r="R481" s="36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</row>
    <row r="482" ht="12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35"/>
      <c r="R482" s="36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</row>
    <row r="483" ht="12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35"/>
      <c r="R483" s="36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</row>
    <row r="484" ht="12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35"/>
      <c r="R484" s="36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</row>
    <row r="485" ht="12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35"/>
      <c r="R485" s="36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</row>
    <row r="486" ht="12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35"/>
      <c r="R486" s="36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</row>
    <row r="487" ht="12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35"/>
      <c r="R487" s="36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</row>
    <row r="488" ht="12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35"/>
      <c r="R488" s="36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</row>
    <row r="489" ht="12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35"/>
      <c r="R489" s="36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</row>
    <row r="490" ht="12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35"/>
      <c r="R490" s="36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</row>
    <row r="491" ht="12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35"/>
      <c r="R491" s="36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</row>
    <row r="492" ht="12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35"/>
      <c r="R492" s="36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</row>
    <row r="493" ht="12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35"/>
      <c r="R493" s="36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</row>
    <row r="494" ht="12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35"/>
      <c r="R494" s="36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</row>
    <row r="495" ht="12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35"/>
      <c r="R495" s="36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</row>
    <row r="496" ht="12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35"/>
      <c r="R496" s="36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</row>
    <row r="497" ht="12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35"/>
      <c r="R497" s="36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</row>
    <row r="498" ht="12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35"/>
      <c r="R498" s="36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</row>
    <row r="499" ht="12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35"/>
      <c r="R499" s="36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</row>
    <row r="500" ht="12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35"/>
      <c r="R500" s="36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</row>
    <row r="501" ht="12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35"/>
      <c r="R501" s="36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</row>
    <row r="502" ht="12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35"/>
      <c r="R502" s="36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</row>
    <row r="503" ht="12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35"/>
      <c r="R503" s="36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</row>
    <row r="504" ht="12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35"/>
      <c r="R504" s="36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</row>
    <row r="505" ht="12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35"/>
      <c r="R505" s="36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</row>
    <row r="506" ht="12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35"/>
      <c r="R506" s="36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</row>
    <row r="507" ht="12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35"/>
      <c r="R507" s="36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</row>
    <row r="508" ht="12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35"/>
      <c r="R508" s="36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</row>
    <row r="509" ht="12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35"/>
      <c r="R509" s="36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</row>
    <row r="510" ht="12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35"/>
      <c r="R510" s="36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</row>
    <row r="511" ht="12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35"/>
      <c r="R511" s="36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</row>
    <row r="512" ht="12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35"/>
      <c r="R512" s="36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</row>
    <row r="513" ht="12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35"/>
      <c r="R513" s="36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</row>
    <row r="514" ht="12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35"/>
      <c r="R514" s="36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</row>
    <row r="515" ht="12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35"/>
      <c r="R515" s="36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</row>
    <row r="516" ht="12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35"/>
      <c r="R516" s="36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</row>
    <row r="517" ht="12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35"/>
      <c r="R517" s="36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</row>
    <row r="518" ht="12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35"/>
      <c r="R518" s="36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</row>
    <row r="519" ht="12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35"/>
      <c r="R519" s="36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</row>
    <row r="520" ht="12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35"/>
      <c r="R520" s="36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</row>
    <row r="521" ht="12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35"/>
      <c r="R521" s="36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</row>
    <row r="522" ht="12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35"/>
      <c r="R522" s="36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</row>
    <row r="523" ht="12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35"/>
      <c r="R523" s="36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</row>
    <row r="524" ht="12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35"/>
      <c r="R524" s="36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</row>
    <row r="525" ht="12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35"/>
      <c r="R525" s="36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</row>
    <row r="526" ht="12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35"/>
      <c r="R526" s="36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</row>
    <row r="527" ht="12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35"/>
      <c r="R527" s="36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</row>
    <row r="528" ht="12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35"/>
      <c r="R528" s="36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</row>
    <row r="529" ht="12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35"/>
      <c r="R529" s="36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</row>
    <row r="530" ht="12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35"/>
      <c r="R530" s="36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</row>
    <row r="531" ht="12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35"/>
      <c r="R531" s="36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</row>
    <row r="532" ht="12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35"/>
      <c r="R532" s="36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</row>
    <row r="533" ht="12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35"/>
      <c r="R533" s="36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</row>
    <row r="534" ht="12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35"/>
      <c r="R534" s="36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</row>
    <row r="535" ht="12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35"/>
      <c r="R535" s="36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</row>
    <row r="536" ht="12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35"/>
      <c r="R536" s="36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</row>
    <row r="537" ht="12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35"/>
      <c r="R537" s="36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</row>
    <row r="538" ht="12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35"/>
      <c r="R538" s="36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</row>
    <row r="539" ht="12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35"/>
      <c r="R539" s="36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</row>
    <row r="540" ht="12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35"/>
      <c r="R540" s="36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</row>
    <row r="541" ht="12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35"/>
      <c r="R541" s="36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</row>
    <row r="542" ht="12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35"/>
      <c r="R542" s="36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</row>
    <row r="543" ht="12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35"/>
      <c r="R543" s="36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</row>
    <row r="544" ht="12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35"/>
      <c r="R544" s="36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</row>
    <row r="545" ht="12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35"/>
      <c r="R545" s="36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</row>
    <row r="546" ht="12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35"/>
      <c r="R546" s="36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</row>
    <row r="547" ht="12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35"/>
      <c r="R547" s="36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</row>
    <row r="548" ht="12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35"/>
      <c r="R548" s="36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</row>
    <row r="549" ht="12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35"/>
      <c r="R549" s="36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</row>
    <row r="550" ht="12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35"/>
      <c r="R550" s="36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</row>
    <row r="551" ht="12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35"/>
      <c r="R551" s="36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</row>
    <row r="552" ht="12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35"/>
      <c r="R552" s="36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</row>
    <row r="553" ht="12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35"/>
      <c r="R553" s="36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</row>
    <row r="554" ht="12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35"/>
      <c r="R554" s="36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</row>
    <row r="555" ht="12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35"/>
      <c r="R555" s="36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</row>
    <row r="556" ht="12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35"/>
      <c r="R556" s="36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</row>
    <row r="557" ht="12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35"/>
      <c r="R557" s="36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</row>
    <row r="558" ht="12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35"/>
      <c r="R558" s="36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</row>
    <row r="559" ht="12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35"/>
      <c r="R559" s="36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</row>
    <row r="560" ht="12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35"/>
      <c r="R560" s="36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</row>
    <row r="561" ht="12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35"/>
      <c r="R561" s="36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</row>
    <row r="562" ht="12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35"/>
      <c r="R562" s="36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</row>
    <row r="563" ht="12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35"/>
      <c r="R563" s="36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</row>
    <row r="564" ht="12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35"/>
      <c r="R564" s="36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</row>
    <row r="565" ht="12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35"/>
      <c r="R565" s="36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</row>
    <row r="566" ht="12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35"/>
      <c r="R566" s="36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</row>
    <row r="567" ht="12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35"/>
      <c r="R567" s="36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</row>
    <row r="568" ht="12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35"/>
      <c r="R568" s="36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</row>
    <row r="569" ht="12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35"/>
      <c r="R569" s="36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</row>
    <row r="570" ht="12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35"/>
      <c r="R570" s="36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</row>
    <row r="571" ht="12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35"/>
      <c r="R571" s="36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</row>
    <row r="572" ht="12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35"/>
      <c r="R572" s="36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</row>
    <row r="573" ht="12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35"/>
      <c r="R573" s="36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</row>
    <row r="574" ht="12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35"/>
      <c r="R574" s="36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</row>
    <row r="575" ht="12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35"/>
      <c r="R575" s="36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</row>
    <row r="576" ht="12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35"/>
      <c r="R576" s="36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</row>
    <row r="577" ht="12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35"/>
      <c r="R577" s="36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</row>
    <row r="578" ht="12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35"/>
      <c r="R578" s="36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</row>
    <row r="579" ht="12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35"/>
      <c r="R579" s="36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</row>
    <row r="580" ht="12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35"/>
      <c r="R580" s="36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</row>
    <row r="581" ht="12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35"/>
      <c r="R581" s="36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</row>
    <row r="582" ht="12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35"/>
      <c r="R582" s="36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</row>
    <row r="583" ht="12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35"/>
      <c r="R583" s="36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</row>
    <row r="584" ht="12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35"/>
      <c r="R584" s="36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</row>
    <row r="585" ht="12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35"/>
      <c r="R585" s="36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</row>
    <row r="586" ht="12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35"/>
      <c r="R586" s="36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</row>
    <row r="587" ht="12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35"/>
      <c r="R587" s="36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</row>
    <row r="588" ht="12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35"/>
      <c r="R588" s="36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</row>
    <row r="589" ht="12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35"/>
      <c r="R589" s="36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</row>
    <row r="590" ht="12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35"/>
      <c r="R590" s="36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</row>
    <row r="591" ht="12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35"/>
      <c r="R591" s="36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</row>
    <row r="592" ht="12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35"/>
      <c r="R592" s="36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</row>
    <row r="593" ht="12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35"/>
      <c r="R593" s="36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</row>
    <row r="594" ht="12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35"/>
      <c r="R594" s="36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</row>
    <row r="595" ht="12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35"/>
      <c r="R595" s="36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</row>
    <row r="596" ht="12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35"/>
      <c r="R596" s="36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</row>
    <row r="597" ht="12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35"/>
      <c r="R597" s="36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</row>
    <row r="598" ht="12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35"/>
      <c r="R598" s="36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</row>
    <row r="599" ht="12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35"/>
      <c r="R599" s="36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</row>
    <row r="600" ht="12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35"/>
      <c r="R600" s="36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</row>
    <row r="601" ht="12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35"/>
      <c r="R601" s="36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</row>
    <row r="602" ht="12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35"/>
      <c r="R602" s="36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</row>
    <row r="603" ht="12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35"/>
      <c r="R603" s="36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</row>
    <row r="604" ht="12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35"/>
      <c r="R604" s="36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</row>
    <row r="605" ht="12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35"/>
      <c r="R605" s="36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</row>
    <row r="606" ht="12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35"/>
      <c r="R606" s="36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</row>
    <row r="607" ht="12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35"/>
      <c r="R607" s="36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</row>
    <row r="608" ht="12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35"/>
      <c r="R608" s="36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</row>
    <row r="609" ht="12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35"/>
      <c r="R609" s="36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</row>
    <row r="610" ht="12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35"/>
      <c r="R610" s="36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</row>
    <row r="611" ht="12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35"/>
      <c r="R611" s="36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</row>
    <row r="612" ht="12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35"/>
      <c r="R612" s="36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</row>
    <row r="613" ht="12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35"/>
      <c r="R613" s="36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</row>
    <row r="614" ht="12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35"/>
      <c r="R614" s="36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</row>
    <row r="615" ht="12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35"/>
      <c r="R615" s="36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</row>
    <row r="616" ht="12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35"/>
      <c r="R616" s="36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</row>
    <row r="617" ht="12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35"/>
      <c r="R617" s="36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</row>
    <row r="618" ht="12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35"/>
      <c r="R618" s="36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</row>
    <row r="619" ht="12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35"/>
      <c r="R619" s="36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</row>
    <row r="620" ht="12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35"/>
      <c r="R620" s="36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</row>
    <row r="621" ht="12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35"/>
      <c r="R621" s="36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</row>
    <row r="622" ht="12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35"/>
      <c r="R622" s="36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</row>
    <row r="623" ht="12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35"/>
      <c r="R623" s="36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</row>
    <row r="624" ht="12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35"/>
      <c r="R624" s="36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</row>
    <row r="625" ht="12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35"/>
      <c r="R625" s="36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</row>
    <row r="626" ht="12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35"/>
      <c r="R626" s="36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</row>
    <row r="627" ht="12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35"/>
      <c r="R627" s="36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</row>
    <row r="628" ht="12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35"/>
      <c r="R628" s="36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</row>
    <row r="629" ht="12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35"/>
      <c r="R629" s="36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</row>
    <row r="630" ht="12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35"/>
      <c r="R630" s="36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</row>
    <row r="631" ht="12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35"/>
      <c r="R631" s="36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</row>
    <row r="632" ht="12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35"/>
      <c r="R632" s="36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</row>
    <row r="633" ht="12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35"/>
      <c r="R633" s="36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</row>
    <row r="634" ht="12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35"/>
      <c r="R634" s="36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</row>
    <row r="635" ht="12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35"/>
      <c r="R635" s="36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</row>
    <row r="636" ht="12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35"/>
      <c r="R636" s="36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</row>
    <row r="637" ht="12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35"/>
      <c r="R637" s="36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</row>
    <row r="638" ht="12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35"/>
      <c r="R638" s="36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</row>
    <row r="639" ht="12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35"/>
      <c r="R639" s="36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</row>
    <row r="640" ht="12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35"/>
      <c r="R640" s="36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</row>
    <row r="641" ht="12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35"/>
      <c r="R641" s="36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</row>
    <row r="642" ht="12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35"/>
      <c r="R642" s="36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</row>
    <row r="643" ht="12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35"/>
      <c r="R643" s="36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</row>
    <row r="644" ht="12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35"/>
      <c r="R644" s="36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</row>
    <row r="645" ht="12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35"/>
      <c r="R645" s="36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</row>
    <row r="646" ht="12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35"/>
      <c r="R646" s="36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</row>
    <row r="647" ht="12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35"/>
      <c r="R647" s="36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</row>
    <row r="648" ht="12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35"/>
      <c r="R648" s="36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</row>
    <row r="649" ht="12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35"/>
      <c r="R649" s="36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</row>
    <row r="650" ht="12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35"/>
      <c r="R650" s="36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</row>
    <row r="651" ht="12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35"/>
      <c r="R651" s="36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</row>
    <row r="652" ht="12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35"/>
      <c r="R652" s="36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</row>
    <row r="653" ht="12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35"/>
      <c r="R653" s="36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</row>
    <row r="654" ht="12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35"/>
      <c r="R654" s="36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</row>
    <row r="655" ht="12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35"/>
      <c r="R655" s="36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</row>
    <row r="656" ht="12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35"/>
      <c r="R656" s="36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</row>
    <row r="657" ht="12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35"/>
      <c r="R657" s="36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</row>
    <row r="658" ht="12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35"/>
      <c r="R658" s="36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</row>
    <row r="659" ht="12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35"/>
      <c r="R659" s="36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</row>
    <row r="660" ht="12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35"/>
      <c r="R660" s="36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</row>
    <row r="661" ht="12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35"/>
      <c r="R661" s="36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</row>
    <row r="662" ht="12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35"/>
      <c r="R662" s="36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</row>
    <row r="663" ht="12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35"/>
      <c r="R663" s="36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</row>
    <row r="664" ht="12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35"/>
      <c r="R664" s="36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</row>
    <row r="665" ht="12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35"/>
      <c r="R665" s="36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</row>
    <row r="666" ht="12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35"/>
      <c r="R666" s="36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</row>
    <row r="667" ht="12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35"/>
      <c r="R667" s="36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</row>
    <row r="668" ht="12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35"/>
      <c r="R668" s="36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</row>
    <row r="669" ht="12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35"/>
      <c r="R669" s="36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</row>
    <row r="670" ht="12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35"/>
      <c r="R670" s="36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</row>
    <row r="671" ht="12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35"/>
      <c r="R671" s="36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</row>
    <row r="672" ht="12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35"/>
      <c r="R672" s="36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</row>
    <row r="673" ht="12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35"/>
      <c r="R673" s="36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</row>
    <row r="674" ht="12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35"/>
      <c r="R674" s="36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</row>
    <row r="675" ht="12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35"/>
      <c r="R675" s="36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</row>
    <row r="676" ht="12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35"/>
      <c r="R676" s="36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</row>
    <row r="677" ht="12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35"/>
      <c r="R677" s="36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</row>
    <row r="678" ht="12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35"/>
      <c r="R678" s="36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</row>
    <row r="679" ht="12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35"/>
      <c r="R679" s="36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</row>
    <row r="680" ht="12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35"/>
      <c r="R680" s="36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</row>
    <row r="681" ht="12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35"/>
      <c r="R681" s="36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</row>
    <row r="682" ht="12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35"/>
      <c r="R682" s="36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</row>
    <row r="683" ht="12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35"/>
      <c r="R683" s="36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</row>
    <row r="684" ht="12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35"/>
      <c r="R684" s="36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</row>
    <row r="685" ht="12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35"/>
      <c r="R685" s="36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</row>
    <row r="686" ht="12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35"/>
      <c r="R686" s="36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</row>
    <row r="687" ht="12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35"/>
      <c r="R687" s="36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</row>
    <row r="688" ht="12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35"/>
      <c r="R688" s="36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</row>
    <row r="689" ht="12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35"/>
      <c r="R689" s="36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</row>
    <row r="690" ht="12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35"/>
      <c r="R690" s="36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</row>
    <row r="691" ht="12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35"/>
      <c r="R691" s="36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</row>
    <row r="692" ht="12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35"/>
      <c r="R692" s="36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</row>
    <row r="693" ht="12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35"/>
      <c r="R693" s="36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</row>
    <row r="694" ht="12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35"/>
      <c r="R694" s="36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</row>
    <row r="695" ht="12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35"/>
      <c r="R695" s="36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</row>
    <row r="696" ht="12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35"/>
      <c r="R696" s="36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</row>
    <row r="697" ht="12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35"/>
      <c r="R697" s="36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</row>
    <row r="698" ht="12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35"/>
      <c r="R698" s="36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</row>
    <row r="699" ht="12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35"/>
      <c r="R699" s="36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</row>
    <row r="700" ht="12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35"/>
      <c r="R700" s="36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</row>
    <row r="701" ht="12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35"/>
      <c r="R701" s="36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</row>
    <row r="702" ht="12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35"/>
      <c r="R702" s="36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</row>
    <row r="703" ht="12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35"/>
      <c r="R703" s="36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</row>
    <row r="704" ht="12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35"/>
      <c r="R704" s="36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</row>
    <row r="705" ht="12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35"/>
      <c r="R705" s="36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</row>
    <row r="706" ht="12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35"/>
      <c r="R706" s="36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</row>
    <row r="707" ht="12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35"/>
      <c r="R707" s="36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</row>
    <row r="708" ht="12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35"/>
      <c r="R708" s="36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</row>
    <row r="709" ht="12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35"/>
      <c r="R709" s="36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</row>
    <row r="710" ht="12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35"/>
      <c r="R710" s="36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</row>
    <row r="711" ht="12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35"/>
      <c r="R711" s="36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</row>
    <row r="712" ht="12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35"/>
      <c r="R712" s="36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</row>
    <row r="713" ht="12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35"/>
      <c r="R713" s="36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</row>
    <row r="714" ht="12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35"/>
      <c r="R714" s="36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</row>
    <row r="715" ht="12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35"/>
      <c r="R715" s="36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</row>
    <row r="716" ht="12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35"/>
      <c r="R716" s="36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</row>
    <row r="717" ht="12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35"/>
      <c r="R717" s="36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</row>
    <row r="718" ht="12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35"/>
      <c r="R718" s="36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</row>
    <row r="719" ht="12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35"/>
      <c r="R719" s="36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</row>
    <row r="720" ht="12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35"/>
      <c r="R720" s="36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</row>
    <row r="721" ht="12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35"/>
      <c r="R721" s="36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</row>
    <row r="722" ht="12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35"/>
      <c r="R722" s="36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</row>
    <row r="723" ht="12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35"/>
      <c r="R723" s="36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</row>
    <row r="724" ht="12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35"/>
      <c r="R724" s="36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</row>
    <row r="725" ht="12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35"/>
      <c r="R725" s="36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</row>
    <row r="726" ht="12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35"/>
      <c r="R726" s="36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</row>
    <row r="727" ht="12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35"/>
      <c r="R727" s="36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</row>
    <row r="728" ht="12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35"/>
      <c r="R728" s="36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</row>
    <row r="729" ht="12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35"/>
      <c r="R729" s="36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</row>
    <row r="730" ht="12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35"/>
      <c r="R730" s="36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</row>
    <row r="731" ht="12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35"/>
      <c r="R731" s="36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</row>
    <row r="732" ht="12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35"/>
      <c r="R732" s="36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</row>
    <row r="733" ht="12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35"/>
      <c r="R733" s="36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</row>
    <row r="734" ht="12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35"/>
      <c r="R734" s="36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</row>
    <row r="735" ht="12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35"/>
      <c r="R735" s="36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</row>
    <row r="736" ht="12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35"/>
      <c r="R736" s="36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</row>
    <row r="737" ht="12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35"/>
      <c r="R737" s="36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</row>
    <row r="738" ht="12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35"/>
      <c r="R738" s="36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</row>
    <row r="739" ht="12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35"/>
      <c r="R739" s="36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</row>
    <row r="740" ht="12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35"/>
      <c r="R740" s="36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</row>
    <row r="741" ht="12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35"/>
      <c r="R741" s="36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</row>
    <row r="742" ht="12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35"/>
      <c r="R742" s="36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</row>
    <row r="743" ht="12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35"/>
      <c r="R743" s="36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</row>
    <row r="744" ht="12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35"/>
      <c r="R744" s="36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</row>
    <row r="745" ht="12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35"/>
      <c r="R745" s="36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</row>
    <row r="746" ht="12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35"/>
      <c r="R746" s="36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</row>
    <row r="747" ht="12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35"/>
      <c r="R747" s="36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</row>
    <row r="748" ht="12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35"/>
      <c r="R748" s="36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</row>
    <row r="749" ht="12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35"/>
      <c r="R749" s="36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</row>
    <row r="750" ht="12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35"/>
      <c r="R750" s="36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</row>
    <row r="751" ht="12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35"/>
      <c r="R751" s="36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</row>
    <row r="752" ht="12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35"/>
      <c r="R752" s="36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</row>
    <row r="753" ht="12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35"/>
      <c r="R753" s="36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</row>
    <row r="754" ht="12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35"/>
      <c r="R754" s="36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</row>
    <row r="755" ht="12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35"/>
      <c r="R755" s="36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</row>
    <row r="756" ht="12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35"/>
      <c r="R756" s="36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</row>
    <row r="757" ht="12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35"/>
      <c r="R757" s="36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</row>
    <row r="758" ht="12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35"/>
      <c r="R758" s="36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</row>
    <row r="759" ht="12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35"/>
      <c r="R759" s="36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</row>
    <row r="760" ht="12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35"/>
      <c r="R760" s="36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</row>
    <row r="761" ht="12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35"/>
      <c r="R761" s="36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</row>
    <row r="762" ht="12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35"/>
      <c r="R762" s="36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</row>
    <row r="763" ht="12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35"/>
      <c r="R763" s="36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</row>
    <row r="764" ht="12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35"/>
      <c r="R764" s="36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</row>
    <row r="765" ht="12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35"/>
      <c r="R765" s="36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</row>
    <row r="766" ht="12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35"/>
      <c r="R766" s="36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</row>
    <row r="767" ht="12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35"/>
      <c r="R767" s="36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</row>
    <row r="768" ht="12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35"/>
      <c r="R768" s="36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</row>
    <row r="769" ht="12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35"/>
      <c r="R769" s="36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</row>
    <row r="770" ht="12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35"/>
      <c r="R770" s="36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</row>
    <row r="771" ht="12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35"/>
      <c r="R771" s="36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</row>
    <row r="772" ht="12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35"/>
      <c r="R772" s="36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</row>
    <row r="773" ht="12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35"/>
      <c r="R773" s="36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</row>
    <row r="774" ht="12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35"/>
      <c r="R774" s="36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</row>
    <row r="775" ht="12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35"/>
      <c r="R775" s="36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</row>
    <row r="776" ht="12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35"/>
      <c r="R776" s="36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</row>
    <row r="777" ht="12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35"/>
      <c r="R777" s="36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</row>
    <row r="778" ht="12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35"/>
      <c r="R778" s="36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</row>
    <row r="779" ht="12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35"/>
      <c r="R779" s="36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</row>
    <row r="780" ht="12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35"/>
      <c r="R780" s="36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</row>
    <row r="781" ht="12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35"/>
      <c r="R781" s="36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</row>
    <row r="782" ht="12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35"/>
      <c r="R782" s="36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</row>
    <row r="783" ht="12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35"/>
      <c r="R783" s="36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</row>
    <row r="784" ht="12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35"/>
      <c r="R784" s="36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</row>
    <row r="785" ht="12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35"/>
      <c r="R785" s="36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</row>
    <row r="786" ht="12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35"/>
      <c r="R786" s="36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</row>
    <row r="787" ht="12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35"/>
      <c r="R787" s="36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</row>
    <row r="788" ht="12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35"/>
      <c r="R788" s="36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</row>
    <row r="789" ht="12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35"/>
      <c r="R789" s="36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</row>
    <row r="790" ht="12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35"/>
      <c r="R790" s="36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</row>
    <row r="791" ht="12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35"/>
      <c r="R791" s="36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</row>
    <row r="792" ht="12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35"/>
      <c r="R792" s="36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</row>
    <row r="793" ht="12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35"/>
      <c r="R793" s="36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</row>
    <row r="794" ht="12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35"/>
      <c r="R794" s="36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</row>
    <row r="795" ht="12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35"/>
      <c r="R795" s="36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</row>
    <row r="796" ht="12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35"/>
      <c r="R796" s="36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</row>
    <row r="797" ht="12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35"/>
      <c r="R797" s="36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</row>
    <row r="798" ht="12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35"/>
      <c r="R798" s="36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</row>
    <row r="799" ht="12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35"/>
      <c r="R799" s="36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</row>
    <row r="800" ht="12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35"/>
      <c r="R800" s="36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</row>
    <row r="801" ht="12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35"/>
      <c r="R801" s="36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</row>
    <row r="802" ht="12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35"/>
      <c r="R802" s="36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</row>
    <row r="803" ht="12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35"/>
      <c r="R803" s="36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</row>
    <row r="804" ht="12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35"/>
      <c r="R804" s="36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</row>
    <row r="805" ht="12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35"/>
      <c r="R805" s="36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</row>
    <row r="806" ht="12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35"/>
      <c r="R806" s="36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</row>
    <row r="807" ht="12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35"/>
      <c r="R807" s="36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</row>
    <row r="808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35"/>
      <c r="R808" s="36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</row>
    <row r="809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35"/>
      <c r="R809" s="36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</row>
    <row r="810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35"/>
      <c r="R810" s="36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</row>
    <row r="811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35"/>
      <c r="R811" s="36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</row>
    <row r="812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35"/>
      <c r="R812" s="36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</row>
    <row r="813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35"/>
      <c r="R813" s="36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</row>
    <row r="814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35"/>
      <c r="R814" s="36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</row>
    <row r="815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35"/>
      <c r="R815" s="36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</row>
    <row r="81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35"/>
      <c r="R816" s="36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</row>
    <row r="817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35"/>
      <c r="R817" s="36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</row>
    <row r="818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35"/>
      <c r="R818" s="36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</row>
    <row r="819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35"/>
      <c r="R819" s="36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</row>
    <row r="820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35"/>
      <c r="R820" s="36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</row>
    <row r="821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35"/>
      <c r="R821" s="36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</row>
    <row r="822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35"/>
      <c r="R822" s="36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</row>
    <row r="823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35"/>
      <c r="R823" s="36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</row>
    <row r="824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35"/>
      <c r="R824" s="36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</row>
    <row r="825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35"/>
      <c r="R825" s="36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</row>
    <row r="8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35"/>
      <c r="R826" s="36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</row>
    <row r="827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35"/>
      <c r="R827" s="36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</row>
    <row r="828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35"/>
      <c r="R828" s="36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</row>
    <row r="829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35"/>
      <c r="R829" s="36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</row>
    <row r="830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35"/>
      <c r="R830" s="36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</row>
    <row r="831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35"/>
      <c r="R831" s="36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</row>
    <row r="832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35"/>
      <c r="R832" s="36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</row>
    <row r="833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35"/>
      <c r="R833" s="36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</row>
    <row r="834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35"/>
      <c r="R834" s="36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</row>
    <row r="835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35"/>
      <c r="R835" s="36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</row>
    <row r="83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35"/>
      <c r="R836" s="36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</row>
    <row r="837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35"/>
      <c r="R837" s="36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</row>
    <row r="838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35"/>
      <c r="R838" s="36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</row>
    <row r="839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35"/>
      <c r="R839" s="36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</row>
    <row r="840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35"/>
      <c r="R840" s="36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</row>
    <row r="841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35"/>
      <c r="R841" s="36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</row>
    <row r="842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35"/>
      <c r="R842" s="36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</row>
    <row r="843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35"/>
      <c r="R843" s="36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</row>
    <row r="844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35"/>
      <c r="R844" s="36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</row>
    <row r="845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35"/>
      <c r="R845" s="36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</row>
    <row r="84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35"/>
      <c r="R846" s="36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</row>
    <row r="847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35"/>
      <c r="R847" s="36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</row>
    <row r="848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35"/>
      <c r="R848" s="36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</row>
    <row r="849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35"/>
      <c r="R849" s="36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</row>
    <row r="850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35"/>
      <c r="R850" s="36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</row>
    <row r="851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35"/>
      <c r="R851" s="36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</row>
    <row r="852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35"/>
      <c r="R852" s="36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</row>
    <row r="853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35"/>
      <c r="R853" s="36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</row>
    <row r="854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35"/>
      <c r="R854" s="36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</row>
    <row r="855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35"/>
      <c r="R855" s="36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</row>
    <row r="85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35"/>
      <c r="R856" s="36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</row>
    <row r="857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35"/>
      <c r="R857" s="36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</row>
    <row r="858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35"/>
      <c r="R858" s="36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</row>
    <row r="859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35"/>
      <c r="R859" s="36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</row>
    <row r="860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35"/>
      <c r="R860" s="36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</row>
    <row r="861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35"/>
      <c r="R861" s="36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</row>
    <row r="862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35"/>
      <c r="R862" s="36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</row>
    <row r="863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35"/>
      <c r="R863" s="36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</row>
    <row r="864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35"/>
      <c r="R864" s="36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</row>
    <row r="865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35"/>
      <c r="R865" s="36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</row>
    <row r="86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35"/>
      <c r="R866" s="36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</row>
    <row r="867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35"/>
      <c r="R867" s="36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</row>
    <row r="868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35"/>
      <c r="R868" s="36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</row>
    <row r="869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35"/>
      <c r="R869" s="36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</row>
    <row r="870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35"/>
      <c r="R870" s="36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</row>
    <row r="871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35"/>
      <c r="R871" s="36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</row>
    <row r="872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35"/>
      <c r="R872" s="36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</row>
    <row r="873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35"/>
      <c r="R873" s="36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</row>
    <row r="874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35"/>
      <c r="R874" s="36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</row>
    <row r="875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35"/>
      <c r="R875" s="36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</row>
    <row r="87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35"/>
      <c r="R876" s="36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</row>
    <row r="877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35"/>
      <c r="R877" s="36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</row>
    <row r="878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35"/>
      <c r="R878" s="36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</row>
    <row r="879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35"/>
      <c r="R879" s="36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</row>
    <row r="880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35"/>
      <c r="R880" s="36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</row>
    <row r="881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35"/>
      <c r="R881" s="36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</row>
    <row r="882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35"/>
      <c r="R882" s="36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</row>
    <row r="883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35"/>
      <c r="R883" s="36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</row>
    <row r="884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35"/>
      <c r="R884" s="36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</row>
    <row r="885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35"/>
      <c r="R885" s="36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</row>
    <row r="88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35"/>
      <c r="R886" s="36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</row>
    <row r="887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35"/>
      <c r="R887" s="36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</row>
    <row r="888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35"/>
      <c r="R888" s="36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</row>
    <row r="889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35"/>
      <c r="R889" s="36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</row>
    <row r="890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35"/>
      <c r="R890" s="36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</row>
    <row r="891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35"/>
      <c r="R891" s="36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</row>
    <row r="892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35"/>
      <c r="R892" s="36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</row>
    <row r="893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35"/>
      <c r="R893" s="36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</row>
    <row r="894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35"/>
      <c r="R894" s="36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</row>
    <row r="895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35"/>
      <c r="R895" s="36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</row>
    <row r="89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35"/>
      <c r="R896" s="36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</row>
    <row r="897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35"/>
      <c r="R897" s="36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</row>
    <row r="898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35"/>
      <c r="R898" s="36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</row>
    <row r="899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35"/>
      <c r="R899" s="36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</row>
    <row r="900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35"/>
      <c r="R900" s="36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</row>
    <row r="901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35"/>
      <c r="R901" s="36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</row>
    <row r="902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35"/>
      <c r="R902" s="36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</row>
    <row r="903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35"/>
      <c r="R903" s="36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</row>
    <row r="904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35"/>
      <c r="R904" s="36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</row>
    <row r="905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35"/>
      <c r="R905" s="36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</row>
    <row r="90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35"/>
      <c r="R906" s="36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</row>
    <row r="907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35"/>
      <c r="R907" s="36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</row>
    <row r="908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35"/>
      <c r="R908" s="36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</row>
    <row r="909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35"/>
      <c r="R909" s="36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</row>
    <row r="910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35"/>
      <c r="R910" s="36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</row>
    <row r="911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35"/>
      <c r="R911" s="36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</row>
    <row r="912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35"/>
      <c r="R912" s="36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</row>
    <row r="913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35"/>
      <c r="R913" s="36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</row>
    <row r="914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35"/>
      <c r="R914" s="36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</row>
    <row r="915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35"/>
      <c r="R915" s="36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</row>
    <row r="91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35"/>
      <c r="R916" s="36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</row>
    <row r="917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35"/>
      <c r="R917" s="36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</row>
    <row r="918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35"/>
      <c r="R918" s="36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</row>
    <row r="919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35"/>
      <c r="R919" s="36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</row>
    <row r="920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35"/>
      <c r="R920" s="36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</row>
    <row r="921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35"/>
      <c r="R921" s="36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</row>
    <row r="922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35"/>
      <c r="R922" s="36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</row>
    <row r="923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35"/>
      <c r="R923" s="36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</row>
    <row r="924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35"/>
      <c r="R924" s="36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</row>
    <row r="925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35"/>
      <c r="R925" s="36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</row>
    <row r="9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35"/>
      <c r="R926" s="36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</row>
    <row r="927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35"/>
      <c r="R927" s="36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</row>
    <row r="928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35"/>
      <c r="R928" s="36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</row>
    <row r="929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35"/>
      <c r="R929" s="36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</row>
    <row r="930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35"/>
      <c r="R930" s="36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</row>
    <row r="931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35"/>
      <c r="R931" s="36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</row>
    <row r="932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35"/>
      <c r="R932" s="36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</row>
    <row r="933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35"/>
      <c r="R933" s="36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</row>
    <row r="934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35"/>
      <c r="R934" s="36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</row>
    <row r="935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35"/>
      <c r="R935" s="36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</row>
    <row r="93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35"/>
      <c r="R936" s="36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</row>
    <row r="937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35"/>
      <c r="R937" s="36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</row>
    <row r="938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35"/>
      <c r="R938" s="36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</row>
    <row r="939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35"/>
      <c r="R939" s="36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</row>
    <row r="940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35"/>
      <c r="R940" s="36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</row>
    <row r="941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35"/>
      <c r="R941" s="36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</row>
    <row r="942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35"/>
      <c r="R942" s="36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</row>
    <row r="943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35"/>
      <c r="R943" s="36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</row>
    <row r="944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35"/>
      <c r="R944" s="36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</row>
    <row r="945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35"/>
      <c r="R945" s="36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</row>
    <row r="94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35"/>
      <c r="R946" s="36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</row>
    <row r="947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35"/>
      <c r="R947" s="36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</row>
    <row r="948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35"/>
      <c r="R948" s="36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</row>
    <row r="949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35"/>
      <c r="R949" s="36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</row>
    <row r="950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35"/>
      <c r="R950" s="36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</row>
    <row r="951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35"/>
      <c r="R951" s="36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</row>
    <row r="952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35"/>
      <c r="R952" s="36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</row>
    <row r="953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35"/>
      <c r="R953" s="36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</row>
    <row r="954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35"/>
      <c r="R954" s="36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</row>
    <row r="955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35"/>
      <c r="R955" s="36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</row>
    <row r="95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35"/>
      <c r="R956" s="36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</row>
    <row r="957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35"/>
      <c r="R957" s="36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</row>
    <row r="958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35"/>
      <c r="R958" s="36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</row>
    <row r="959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35"/>
      <c r="R959" s="36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</row>
    <row r="960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35"/>
      <c r="R960" s="36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</row>
    <row r="961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35"/>
      <c r="R961" s="36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</row>
    <row r="962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35"/>
      <c r="R962" s="36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</row>
    <row r="963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35"/>
      <c r="R963" s="36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</row>
    <row r="964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35"/>
      <c r="R964" s="36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</row>
    <row r="965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35"/>
      <c r="R965" s="36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</row>
    <row r="966" ht="12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35"/>
      <c r="R966" s="36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</row>
    <row r="967" ht="12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35"/>
      <c r="R967" s="36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</row>
    <row r="968" ht="12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35"/>
      <c r="R968" s="36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</row>
    <row r="969" ht="12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35"/>
      <c r="R969" s="36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</row>
    <row r="970" ht="12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35"/>
      <c r="R970" s="36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</row>
    <row r="971" ht="12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35"/>
      <c r="R971" s="36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</row>
    <row r="972" ht="12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35"/>
      <c r="R972" s="36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</row>
    <row r="973" ht="12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35"/>
      <c r="R973" s="36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</row>
    <row r="974" ht="12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35"/>
      <c r="R974" s="36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</row>
    <row r="975" ht="12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35"/>
      <c r="R975" s="36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</row>
    <row r="976" ht="12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35"/>
      <c r="R976" s="36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</row>
    <row r="977" ht="12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35"/>
      <c r="R977" s="36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</row>
    <row r="978" ht="12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35"/>
      <c r="R978" s="36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</row>
    <row r="979" ht="12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35"/>
      <c r="R979" s="36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</row>
    <row r="980" ht="12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35"/>
      <c r="R980" s="36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</row>
    <row r="981" ht="12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35"/>
      <c r="R981" s="36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</row>
    <row r="982" ht="12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35"/>
      <c r="R982" s="36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</row>
    <row r="983" ht="12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35"/>
      <c r="R983" s="36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</row>
    <row r="984" ht="12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35"/>
      <c r="R984" s="36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</row>
    <row r="985" ht="12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35"/>
      <c r="R985" s="36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</row>
    <row r="986" ht="12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35"/>
      <c r="R986" s="36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</row>
    <row r="987" ht="12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35"/>
      <c r="R987" s="36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</row>
    <row r="988" ht="12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35"/>
      <c r="R988" s="36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</row>
    <row r="989" ht="12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35"/>
      <c r="R989" s="36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</row>
    <row r="990" ht="12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35"/>
      <c r="R990" s="36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</row>
    <row r="991" ht="12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35"/>
      <c r="R991" s="36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</row>
    <row r="992" ht="12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35"/>
      <c r="R992" s="36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</row>
    <row r="993" ht="12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35"/>
      <c r="R993" s="36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</row>
    <row r="994" ht="12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35"/>
      <c r="R994" s="36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</row>
    <row r="995" ht="12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35"/>
      <c r="R995" s="36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</row>
    <row r="996" ht="12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35"/>
      <c r="R996" s="36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</row>
    <row r="997" ht="12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35"/>
      <c r="R997" s="36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</row>
    <row r="998" ht="12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35"/>
      <c r="R998" s="36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</row>
    <row r="999" ht="12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35"/>
      <c r="R999" s="36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</row>
    <row r="1000" ht="12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35"/>
      <c r="R1000" s="36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</row>
  </sheetData>
  <mergeCells count="2">
    <mergeCell ref="J1:K1"/>
    <mergeCell ref="J2:K2"/>
  </mergeCells>
  <conditionalFormatting sqref="S5:S26">
    <cfRule type="cellIs" dxfId="0" priority="1" operator="equal">
      <formula>1</formula>
    </cfRule>
  </conditionalFormatting>
  <conditionalFormatting sqref="S5:S26">
    <cfRule type="cellIs" dxfId="1" priority="2" operator="equal">
      <formula>2</formula>
    </cfRule>
  </conditionalFormatting>
  <dataValidations>
    <dataValidation type="decimal" allowBlank="1" showInputMessage="1" showErrorMessage="1" prompt="Valor erróneo - Recuerda que solo se pueden ingresar números en esta celda." sqref="I5:N26 S5:S26">
      <formula1>-100000.0</formula1>
      <formula2>100000.0</formula2>
    </dataValidation>
  </dataValidations>
  <printOptions/>
  <pageMargins bottom="0.75" footer="0.0" header="0.0" left="0.7" right="0.7" top="0.75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5" width="21.14"/>
    <col customWidth="1" min="6" max="6" width="21.0"/>
    <col customWidth="1" min="7" max="7" width="39.0"/>
    <col customWidth="1" min="8" max="11" width="2.57"/>
    <col customWidth="1" min="12" max="12" width="7.71"/>
    <col customWidth="1" min="13" max="13" width="12.29"/>
    <col customWidth="1" min="14" max="14" width="11.71"/>
    <col customWidth="1" min="15" max="15" width="9.29"/>
    <col customWidth="1" min="16" max="16" width="10.86"/>
    <col customWidth="1" min="17" max="17" width="16.29"/>
    <col customWidth="1" min="18" max="18" width="51.86"/>
    <col customWidth="1" min="19" max="19" width="19.0"/>
    <col customWidth="1" min="20" max="20" width="9.43"/>
    <col customWidth="1" min="21" max="21" width="7.57"/>
    <col customWidth="1" min="22" max="22" width="3.14"/>
    <col customWidth="1" min="23" max="23" width="8.57"/>
    <col customWidth="1" min="24" max="27" width="10.57"/>
    <col customWidth="1" hidden="1" min="28" max="45" width="10.71"/>
  </cols>
  <sheetData>
    <row r="1" ht="44.25" customHeight="1">
      <c r="A1" s="121" t="s">
        <v>120</v>
      </c>
      <c r="B1" s="122" t="s">
        <v>17</v>
      </c>
      <c r="C1" s="122" t="s">
        <v>19</v>
      </c>
      <c r="D1" s="122" t="s">
        <v>23</v>
      </c>
      <c r="E1" s="122" t="s">
        <v>183</v>
      </c>
      <c r="F1" s="123" t="s">
        <v>28</v>
      </c>
      <c r="G1" s="123" t="s">
        <v>31</v>
      </c>
      <c r="H1" s="124">
        <v>1.0</v>
      </c>
      <c r="I1" s="125">
        <v>2.0</v>
      </c>
      <c r="J1" s="125">
        <v>3.0</v>
      </c>
      <c r="K1" s="126">
        <v>4.0</v>
      </c>
      <c r="L1" s="127" t="s">
        <v>121</v>
      </c>
      <c r="M1" s="128" t="s">
        <v>62</v>
      </c>
      <c r="N1" s="128" t="s">
        <v>67</v>
      </c>
      <c r="O1" s="128" t="s">
        <v>71</v>
      </c>
      <c r="P1" s="129" t="s">
        <v>75</v>
      </c>
      <c r="Q1" s="130" t="s">
        <v>122</v>
      </c>
      <c r="R1" s="131" t="s">
        <v>123</v>
      </c>
      <c r="S1" s="131" t="s">
        <v>124</v>
      </c>
      <c r="T1" s="131" t="s">
        <v>106</v>
      </c>
      <c r="U1" s="50" t="s">
        <v>99</v>
      </c>
      <c r="V1" s="51" t="s">
        <v>125</v>
      </c>
      <c r="W1" s="52" t="s">
        <v>126</v>
      </c>
      <c r="X1" s="53" t="s">
        <v>127</v>
      </c>
      <c r="Y1" s="54" t="s">
        <v>128</v>
      </c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</row>
    <row r="2" ht="12.75" customHeight="1">
      <c r="A2" s="132">
        <v>1.0</v>
      </c>
      <c r="B2" s="132"/>
      <c r="C2" s="132"/>
      <c r="D2" s="132"/>
      <c r="E2" s="132"/>
      <c r="F2" s="133"/>
      <c r="G2" s="133"/>
      <c r="H2" s="132"/>
      <c r="I2" s="132"/>
      <c r="J2" s="132"/>
      <c r="K2" s="132"/>
      <c r="L2" s="134"/>
      <c r="M2" s="134"/>
      <c r="N2" s="134"/>
      <c r="O2" s="134"/>
      <c r="P2" s="134"/>
      <c r="Q2" s="135"/>
      <c r="R2" s="133"/>
      <c r="S2" s="136"/>
      <c r="T2" s="132"/>
      <c r="U2" s="137">
        <f t="shared" ref="U2:U23" si="1">L2*22+M2*4.3+N2*2+O2+P2/12</f>
        <v>0</v>
      </c>
      <c r="V2" s="68">
        <f t="shared" ref="V2:V23" si="2">IF(OR(AND(H2="",I2="",J2="",K2=""),AND(L2="",M2="",N2="",O2="",P2=""),AND(L2&lt;&gt;"",COUNTA(H2:K2)&lt;4),AND(M2&lt;&gt;"",COUNTA(H2:K2)&lt;4),AND(N2&lt;&gt;"",COUNTA(H2:K2)&lt;&gt;2),AND(O2&lt;&gt;"",COUNTA(H2:K2)&gt;1),AND(COUNTA(L2:P2)&gt;1)),2,1)</f>
        <v>2</v>
      </c>
      <c r="W2" s="69">
        <f t="shared" ref="W2:W23" si="3">Q2*U2</f>
        <v>0</v>
      </c>
      <c r="X2" s="70">
        <f t="shared" ref="X2:X23" si="4">W2/60</f>
        <v>0</v>
      </c>
      <c r="Y2" s="71">
        <f t="shared" ref="Y2:Y23" si="5">W2/22</f>
        <v>0</v>
      </c>
      <c r="Z2" s="38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ht="12.75" customHeight="1">
      <c r="A3" s="132">
        <v>2.0</v>
      </c>
      <c r="B3" s="132"/>
      <c r="C3" s="132"/>
      <c r="D3" s="132"/>
      <c r="E3" s="132"/>
      <c r="F3" s="133"/>
      <c r="G3" s="133"/>
      <c r="H3" s="132"/>
      <c r="I3" s="132"/>
      <c r="J3" s="132"/>
      <c r="K3" s="132"/>
      <c r="L3" s="134"/>
      <c r="M3" s="134"/>
      <c r="N3" s="134"/>
      <c r="O3" s="134"/>
      <c r="P3" s="134"/>
      <c r="Q3" s="135"/>
      <c r="R3" s="133"/>
      <c r="S3" s="136"/>
      <c r="T3" s="132"/>
      <c r="U3" s="138">
        <f t="shared" si="1"/>
        <v>0</v>
      </c>
      <c r="V3" s="68">
        <f t="shared" si="2"/>
        <v>2</v>
      </c>
      <c r="W3" s="69">
        <f t="shared" si="3"/>
        <v>0</v>
      </c>
      <c r="X3" s="70">
        <f t="shared" si="4"/>
        <v>0</v>
      </c>
      <c r="Y3" s="71">
        <f t="shared" si="5"/>
        <v>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ht="12.75" customHeight="1">
      <c r="A4" s="132">
        <v>3.0</v>
      </c>
      <c r="B4" s="132"/>
      <c r="C4" s="132"/>
      <c r="D4" s="132"/>
      <c r="E4" s="132"/>
      <c r="F4" s="133"/>
      <c r="G4" s="133"/>
      <c r="H4" s="132"/>
      <c r="I4" s="132"/>
      <c r="J4" s="132"/>
      <c r="K4" s="132"/>
      <c r="L4" s="134"/>
      <c r="M4" s="134"/>
      <c r="N4" s="134"/>
      <c r="O4" s="134"/>
      <c r="P4" s="134"/>
      <c r="Q4" s="135"/>
      <c r="R4" s="133"/>
      <c r="S4" s="136"/>
      <c r="T4" s="132"/>
      <c r="U4" s="138">
        <f t="shared" si="1"/>
        <v>0</v>
      </c>
      <c r="V4" s="68">
        <f t="shared" si="2"/>
        <v>2</v>
      </c>
      <c r="W4" s="69">
        <f t="shared" si="3"/>
        <v>0</v>
      </c>
      <c r="X4" s="70">
        <f t="shared" si="4"/>
        <v>0</v>
      </c>
      <c r="Y4" s="71">
        <f t="shared" si="5"/>
        <v>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r="5" ht="12.75" customHeight="1">
      <c r="A5" s="132">
        <v>4.0</v>
      </c>
      <c r="B5" s="132"/>
      <c r="C5" s="132"/>
      <c r="D5" s="132"/>
      <c r="E5" s="132"/>
      <c r="F5" s="133"/>
      <c r="G5" s="133"/>
      <c r="H5" s="132"/>
      <c r="I5" s="132"/>
      <c r="J5" s="132"/>
      <c r="K5" s="132"/>
      <c r="L5" s="134"/>
      <c r="M5" s="134"/>
      <c r="N5" s="134"/>
      <c r="O5" s="134"/>
      <c r="P5" s="134"/>
      <c r="Q5" s="135"/>
      <c r="R5" s="133"/>
      <c r="S5" s="136"/>
      <c r="T5" s="132"/>
      <c r="U5" s="138">
        <f t="shared" si="1"/>
        <v>0</v>
      </c>
      <c r="V5" s="68">
        <f t="shared" si="2"/>
        <v>2</v>
      </c>
      <c r="W5" s="69">
        <f t="shared" si="3"/>
        <v>0</v>
      </c>
      <c r="X5" s="70">
        <f t="shared" si="4"/>
        <v>0</v>
      </c>
      <c r="Y5" s="71">
        <f t="shared" si="5"/>
        <v>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r="6" ht="12.75" customHeight="1">
      <c r="A6" s="132">
        <v>5.0</v>
      </c>
      <c r="B6" s="132"/>
      <c r="C6" s="132"/>
      <c r="D6" s="132"/>
      <c r="E6" s="132"/>
      <c r="F6" s="133"/>
      <c r="G6" s="133"/>
      <c r="H6" s="132"/>
      <c r="I6" s="132"/>
      <c r="J6" s="132"/>
      <c r="K6" s="132"/>
      <c r="L6" s="134"/>
      <c r="M6" s="134"/>
      <c r="N6" s="134"/>
      <c r="O6" s="134"/>
      <c r="P6" s="134"/>
      <c r="Q6" s="135"/>
      <c r="R6" s="133"/>
      <c r="S6" s="136"/>
      <c r="T6" s="132"/>
      <c r="U6" s="138">
        <f t="shared" si="1"/>
        <v>0</v>
      </c>
      <c r="V6" s="68">
        <f t="shared" si="2"/>
        <v>2</v>
      </c>
      <c r="W6" s="69">
        <f t="shared" si="3"/>
        <v>0</v>
      </c>
      <c r="X6" s="70">
        <f t="shared" si="4"/>
        <v>0</v>
      </c>
      <c r="Y6" s="71">
        <f t="shared" si="5"/>
        <v>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 ht="12.75" customHeight="1">
      <c r="A7" s="132">
        <v>6.0</v>
      </c>
      <c r="B7" s="132"/>
      <c r="C7" s="132"/>
      <c r="D7" s="132"/>
      <c r="E7" s="132"/>
      <c r="F7" s="133"/>
      <c r="G7" s="133"/>
      <c r="H7" s="132"/>
      <c r="I7" s="132"/>
      <c r="J7" s="132"/>
      <c r="K7" s="132"/>
      <c r="L7" s="134"/>
      <c r="M7" s="134"/>
      <c r="N7" s="134"/>
      <c r="O7" s="134"/>
      <c r="P7" s="134"/>
      <c r="Q7" s="135"/>
      <c r="R7" s="133"/>
      <c r="S7" s="136"/>
      <c r="T7" s="132"/>
      <c r="U7" s="138">
        <f t="shared" si="1"/>
        <v>0</v>
      </c>
      <c r="V7" s="68">
        <f t="shared" si="2"/>
        <v>2</v>
      </c>
      <c r="W7" s="69">
        <f t="shared" si="3"/>
        <v>0</v>
      </c>
      <c r="X7" s="70">
        <f t="shared" si="4"/>
        <v>0</v>
      </c>
      <c r="Y7" s="71">
        <f t="shared" si="5"/>
        <v>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ht="12.75" customHeight="1">
      <c r="A8" s="132">
        <v>7.0</v>
      </c>
      <c r="B8" s="132"/>
      <c r="C8" s="132"/>
      <c r="D8" s="132"/>
      <c r="E8" s="132"/>
      <c r="F8" s="133"/>
      <c r="G8" s="133"/>
      <c r="H8" s="132"/>
      <c r="I8" s="132"/>
      <c r="J8" s="132"/>
      <c r="K8" s="132"/>
      <c r="L8" s="134"/>
      <c r="M8" s="134"/>
      <c r="N8" s="134"/>
      <c r="O8" s="134"/>
      <c r="P8" s="134"/>
      <c r="Q8" s="135"/>
      <c r="R8" s="133"/>
      <c r="S8" s="136"/>
      <c r="T8" s="132"/>
      <c r="U8" s="138">
        <f t="shared" si="1"/>
        <v>0</v>
      </c>
      <c r="V8" s="68">
        <f t="shared" si="2"/>
        <v>2</v>
      </c>
      <c r="W8" s="69">
        <f t="shared" si="3"/>
        <v>0</v>
      </c>
      <c r="X8" s="70">
        <f t="shared" si="4"/>
        <v>0</v>
      </c>
      <c r="Y8" s="71">
        <f t="shared" si="5"/>
        <v>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 ht="12.75" customHeight="1">
      <c r="A9" s="132">
        <v>8.0</v>
      </c>
      <c r="B9" s="132"/>
      <c r="C9" s="132"/>
      <c r="D9" s="132"/>
      <c r="E9" s="132"/>
      <c r="F9" s="133"/>
      <c r="G9" s="133"/>
      <c r="H9" s="132"/>
      <c r="I9" s="132"/>
      <c r="J9" s="132"/>
      <c r="K9" s="132"/>
      <c r="L9" s="134"/>
      <c r="M9" s="134"/>
      <c r="N9" s="134"/>
      <c r="O9" s="134"/>
      <c r="P9" s="134"/>
      <c r="Q9" s="135"/>
      <c r="R9" s="133"/>
      <c r="S9" s="136"/>
      <c r="T9" s="132"/>
      <c r="U9" s="138">
        <f t="shared" si="1"/>
        <v>0</v>
      </c>
      <c r="V9" s="68">
        <f t="shared" si="2"/>
        <v>2</v>
      </c>
      <c r="W9" s="69">
        <f t="shared" si="3"/>
        <v>0</v>
      </c>
      <c r="X9" s="70">
        <f t="shared" si="4"/>
        <v>0</v>
      </c>
      <c r="Y9" s="71">
        <f t="shared" si="5"/>
        <v>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 ht="12.75" customHeight="1">
      <c r="A10" s="132">
        <v>9.0</v>
      </c>
      <c r="B10" s="132"/>
      <c r="C10" s="132"/>
      <c r="D10" s="132"/>
      <c r="E10" s="132"/>
      <c r="F10" s="139"/>
      <c r="G10" s="139"/>
      <c r="H10" s="132"/>
      <c r="I10" s="132"/>
      <c r="J10" s="132"/>
      <c r="K10" s="132"/>
      <c r="L10" s="140"/>
      <c r="M10" s="134"/>
      <c r="N10" s="140"/>
      <c r="O10" s="140"/>
      <c r="P10" s="140"/>
      <c r="Q10" s="141"/>
      <c r="R10" s="139"/>
      <c r="S10" s="142"/>
      <c r="T10" s="143"/>
      <c r="U10" s="138">
        <f t="shared" si="1"/>
        <v>0</v>
      </c>
      <c r="V10" s="68">
        <f t="shared" si="2"/>
        <v>2</v>
      </c>
      <c r="W10" s="69">
        <f t="shared" si="3"/>
        <v>0</v>
      </c>
      <c r="X10" s="70">
        <f t="shared" si="4"/>
        <v>0</v>
      </c>
      <c r="Y10" s="71">
        <f t="shared" si="5"/>
        <v>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 ht="12.75" customHeight="1">
      <c r="A11" s="132">
        <v>10.0</v>
      </c>
      <c r="B11" s="132"/>
      <c r="C11" s="132"/>
      <c r="D11" s="132"/>
      <c r="E11" s="132"/>
      <c r="F11" s="144"/>
      <c r="G11" s="144"/>
      <c r="H11" s="132"/>
      <c r="I11" s="132"/>
      <c r="J11" s="132"/>
      <c r="K11" s="132"/>
      <c r="L11" s="145"/>
      <c r="M11" s="140"/>
      <c r="N11" s="140"/>
      <c r="O11" s="140"/>
      <c r="P11" s="140"/>
      <c r="Q11" s="141"/>
      <c r="R11" s="139"/>
      <c r="S11" s="142"/>
      <c r="T11" s="143"/>
      <c r="U11" s="138">
        <f t="shared" si="1"/>
        <v>0</v>
      </c>
      <c r="V11" s="68">
        <f t="shared" si="2"/>
        <v>2</v>
      </c>
      <c r="W11" s="69">
        <f t="shared" si="3"/>
        <v>0</v>
      </c>
      <c r="X11" s="70">
        <f t="shared" si="4"/>
        <v>0</v>
      </c>
      <c r="Y11" s="71">
        <f t="shared" si="5"/>
        <v>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 ht="12.75" customHeight="1">
      <c r="A12" s="132">
        <v>11.0</v>
      </c>
      <c r="B12" s="132"/>
      <c r="C12" s="132"/>
      <c r="D12" s="132"/>
      <c r="E12" s="132"/>
      <c r="F12" s="139"/>
      <c r="G12" s="139"/>
      <c r="H12" s="143"/>
      <c r="I12" s="143"/>
      <c r="J12" s="143"/>
      <c r="K12" s="143"/>
      <c r="L12" s="140"/>
      <c r="M12" s="140"/>
      <c r="N12" s="140"/>
      <c r="O12" s="140"/>
      <c r="P12" s="140"/>
      <c r="Q12" s="141"/>
      <c r="R12" s="139"/>
      <c r="S12" s="142"/>
      <c r="T12" s="143"/>
      <c r="U12" s="138">
        <f t="shared" si="1"/>
        <v>0</v>
      </c>
      <c r="V12" s="68">
        <f t="shared" si="2"/>
        <v>2</v>
      </c>
      <c r="W12" s="69">
        <f t="shared" si="3"/>
        <v>0</v>
      </c>
      <c r="X12" s="70">
        <f t="shared" si="4"/>
        <v>0</v>
      </c>
      <c r="Y12" s="71">
        <f t="shared" si="5"/>
        <v>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 ht="12.75" customHeight="1">
      <c r="A13" s="132">
        <v>12.0</v>
      </c>
      <c r="B13" s="132"/>
      <c r="C13" s="132"/>
      <c r="D13" s="132"/>
      <c r="E13" s="132"/>
      <c r="F13" s="139"/>
      <c r="G13" s="139"/>
      <c r="H13" s="143"/>
      <c r="I13" s="143"/>
      <c r="J13" s="143"/>
      <c r="K13" s="143"/>
      <c r="L13" s="140"/>
      <c r="M13" s="140"/>
      <c r="N13" s="140"/>
      <c r="O13" s="140"/>
      <c r="P13" s="140"/>
      <c r="Q13" s="141"/>
      <c r="R13" s="139"/>
      <c r="S13" s="142"/>
      <c r="T13" s="143"/>
      <c r="U13" s="138">
        <f t="shared" si="1"/>
        <v>0</v>
      </c>
      <c r="V13" s="68">
        <f t="shared" si="2"/>
        <v>2</v>
      </c>
      <c r="W13" s="69">
        <f t="shared" si="3"/>
        <v>0</v>
      </c>
      <c r="X13" s="70">
        <f t="shared" si="4"/>
        <v>0</v>
      </c>
      <c r="Y13" s="71">
        <f t="shared" si="5"/>
        <v>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 ht="12.75" customHeight="1">
      <c r="A14" s="132">
        <v>13.0</v>
      </c>
      <c r="B14" s="132"/>
      <c r="C14" s="132"/>
      <c r="D14" s="132"/>
      <c r="E14" s="132"/>
      <c r="F14" s="146"/>
      <c r="G14" s="146"/>
      <c r="H14" s="132"/>
      <c r="I14" s="132"/>
      <c r="J14" s="132"/>
      <c r="K14" s="132"/>
      <c r="L14" s="134"/>
      <c r="M14" s="134"/>
      <c r="N14" s="134"/>
      <c r="O14" s="134"/>
      <c r="P14" s="134"/>
      <c r="Q14" s="135"/>
      <c r="R14" s="146"/>
      <c r="S14" s="142"/>
      <c r="T14" s="143"/>
      <c r="U14" s="138">
        <f t="shared" si="1"/>
        <v>0</v>
      </c>
      <c r="V14" s="68">
        <f t="shared" si="2"/>
        <v>2</v>
      </c>
      <c r="W14" s="69">
        <f t="shared" si="3"/>
        <v>0</v>
      </c>
      <c r="X14" s="70">
        <f t="shared" si="4"/>
        <v>0</v>
      </c>
      <c r="Y14" s="71">
        <f t="shared" si="5"/>
        <v>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 ht="12.75" customHeight="1">
      <c r="A15" s="132">
        <v>14.0</v>
      </c>
      <c r="B15" s="132"/>
      <c r="C15" s="132"/>
      <c r="D15" s="132"/>
      <c r="E15" s="132"/>
      <c r="F15" s="139"/>
      <c r="G15" s="139"/>
      <c r="H15" s="143"/>
      <c r="I15" s="143"/>
      <c r="J15" s="143"/>
      <c r="K15" s="143"/>
      <c r="L15" s="140"/>
      <c r="M15" s="140"/>
      <c r="N15" s="140"/>
      <c r="O15" s="140"/>
      <c r="P15" s="140"/>
      <c r="Q15" s="141"/>
      <c r="R15" s="139"/>
      <c r="S15" s="142"/>
      <c r="T15" s="143"/>
      <c r="U15" s="138">
        <f t="shared" si="1"/>
        <v>0</v>
      </c>
      <c r="V15" s="68">
        <f t="shared" si="2"/>
        <v>2</v>
      </c>
      <c r="W15" s="69">
        <f t="shared" si="3"/>
        <v>0</v>
      </c>
      <c r="X15" s="70">
        <f t="shared" si="4"/>
        <v>0</v>
      </c>
      <c r="Y15" s="71">
        <f t="shared" si="5"/>
        <v>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 ht="12.75" customHeight="1">
      <c r="A16" s="132">
        <v>15.0</v>
      </c>
      <c r="B16" s="132"/>
      <c r="C16" s="132"/>
      <c r="D16" s="132"/>
      <c r="E16" s="132"/>
      <c r="F16" s="146"/>
      <c r="G16" s="146"/>
      <c r="H16" s="132"/>
      <c r="I16" s="132"/>
      <c r="J16" s="132"/>
      <c r="K16" s="132"/>
      <c r="L16" s="143"/>
      <c r="M16" s="140"/>
      <c r="N16" s="140"/>
      <c r="O16" s="140"/>
      <c r="P16" s="140"/>
      <c r="Q16" s="141"/>
      <c r="R16" s="139"/>
      <c r="S16" s="142"/>
      <c r="T16" s="143"/>
      <c r="U16" s="138">
        <f t="shared" si="1"/>
        <v>0</v>
      </c>
      <c r="V16" s="68">
        <f t="shared" si="2"/>
        <v>2</v>
      </c>
      <c r="W16" s="69">
        <f t="shared" si="3"/>
        <v>0</v>
      </c>
      <c r="X16" s="70">
        <f t="shared" si="4"/>
        <v>0</v>
      </c>
      <c r="Y16" s="71">
        <f t="shared" si="5"/>
        <v>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 ht="12.75" customHeight="1">
      <c r="A17" s="132">
        <v>16.0</v>
      </c>
      <c r="B17" s="132"/>
      <c r="C17" s="132"/>
      <c r="D17" s="132"/>
      <c r="E17" s="132"/>
      <c r="F17" s="139"/>
      <c r="G17" s="139"/>
      <c r="H17" s="143"/>
      <c r="I17" s="143"/>
      <c r="J17" s="143"/>
      <c r="K17" s="143"/>
      <c r="L17" s="140"/>
      <c r="M17" s="140"/>
      <c r="N17" s="140"/>
      <c r="O17" s="140"/>
      <c r="P17" s="140"/>
      <c r="Q17" s="141"/>
      <c r="R17" s="139"/>
      <c r="S17" s="142"/>
      <c r="T17" s="143"/>
      <c r="U17" s="138">
        <f t="shared" si="1"/>
        <v>0</v>
      </c>
      <c r="V17" s="68">
        <f t="shared" si="2"/>
        <v>2</v>
      </c>
      <c r="W17" s="69">
        <f t="shared" si="3"/>
        <v>0</v>
      </c>
      <c r="X17" s="70">
        <f t="shared" si="4"/>
        <v>0</v>
      </c>
      <c r="Y17" s="71">
        <f t="shared" si="5"/>
        <v>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 ht="12.75" customHeight="1">
      <c r="A18" s="132">
        <v>17.0</v>
      </c>
      <c r="B18" s="132"/>
      <c r="C18" s="132"/>
      <c r="D18" s="132"/>
      <c r="E18" s="132"/>
      <c r="F18" s="139"/>
      <c r="G18" s="139"/>
      <c r="H18" s="143"/>
      <c r="I18" s="143"/>
      <c r="J18" s="143"/>
      <c r="K18" s="143"/>
      <c r="L18" s="140"/>
      <c r="M18" s="140"/>
      <c r="N18" s="140"/>
      <c r="O18" s="140"/>
      <c r="P18" s="140"/>
      <c r="Q18" s="141"/>
      <c r="R18" s="139"/>
      <c r="S18" s="142"/>
      <c r="T18" s="143"/>
      <c r="U18" s="138">
        <f t="shared" si="1"/>
        <v>0</v>
      </c>
      <c r="V18" s="68">
        <f t="shared" si="2"/>
        <v>2</v>
      </c>
      <c r="W18" s="69">
        <f t="shared" si="3"/>
        <v>0</v>
      </c>
      <c r="X18" s="70">
        <f t="shared" si="4"/>
        <v>0</v>
      </c>
      <c r="Y18" s="71">
        <f t="shared" si="5"/>
        <v>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 ht="12.75" customHeight="1">
      <c r="A19" s="132">
        <v>18.0</v>
      </c>
      <c r="B19" s="132"/>
      <c r="C19" s="132"/>
      <c r="D19" s="132"/>
      <c r="E19" s="132"/>
      <c r="F19" s="139"/>
      <c r="G19" s="139"/>
      <c r="H19" s="143"/>
      <c r="I19" s="143"/>
      <c r="J19" s="143"/>
      <c r="K19" s="143"/>
      <c r="L19" s="140"/>
      <c r="M19" s="140"/>
      <c r="N19" s="140"/>
      <c r="O19" s="140"/>
      <c r="P19" s="140"/>
      <c r="Q19" s="141"/>
      <c r="R19" s="139"/>
      <c r="S19" s="142"/>
      <c r="T19" s="143"/>
      <c r="U19" s="138">
        <f t="shared" si="1"/>
        <v>0</v>
      </c>
      <c r="V19" s="68">
        <f t="shared" si="2"/>
        <v>2</v>
      </c>
      <c r="W19" s="69">
        <f t="shared" si="3"/>
        <v>0</v>
      </c>
      <c r="X19" s="70">
        <f t="shared" si="4"/>
        <v>0</v>
      </c>
      <c r="Y19" s="71">
        <f t="shared" si="5"/>
        <v>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 ht="12.75" customHeight="1">
      <c r="A20" s="132">
        <v>19.0</v>
      </c>
      <c r="B20" s="132"/>
      <c r="C20" s="132"/>
      <c r="D20" s="132"/>
      <c r="E20" s="132"/>
      <c r="F20" s="139"/>
      <c r="G20" s="139"/>
      <c r="H20" s="132"/>
      <c r="I20" s="132"/>
      <c r="J20" s="132"/>
      <c r="K20" s="132"/>
      <c r="L20" s="140"/>
      <c r="M20" s="140"/>
      <c r="N20" s="140"/>
      <c r="O20" s="140"/>
      <c r="P20" s="140"/>
      <c r="Q20" s="141"/>
      <c r="R20" s="139"/>
      <c r="S20" s="142"/>
      <c r="T20" s="143"/>
      <c r="U20" s="138">
        <f t="shared" si="1"/>
        <v>0</v>
      </c>
      <c r="V20" s="68">
        <f t="shared" si="2"/>
        <v>2</v>
      </c>
      <c r="W20" s="69">
        <f t="shared" si="3"/>
        <v>0</v>
      </c>
      <c r="X20" s="70">
        <f t="shared" si="4"/>
        <v>0</v>
      </c>
      <c r="Y20" s="71">
        <f t="shared" si="5"/>
        <v>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 ht="12.75" customHeight="1">
      <c r="A21" s="132">
        <v>20.0</v>
      </c>
      <c r="B21" s="132"/>
      <c r="C21" s="132"/>
      <c r="D21" s="132"/>
      <c r="E21" s="132"/>
      <c r="F21" s="139"/>
      <c r="G21" s="139"/>
      <c r="H21" s="132"/>
      <c r="I21" s="132"/>
      <c r="J21" s="132"/>
      <c r="K21" s="132"/>
      <c r="L21" s="140"/>
      <c r="M21" s="140"/>
      <c r="N21" s="140"/>
      <c r="O21" s="140"/>
      <c r="P21" s="147"/>
      <c r="Q21" s="141"/>
      <c r="R21" s="139"/>
      <c r="S21" s="142"/>
      <c r="T21" s="143"/>
      <c r="U21" s="138">
        <f t="shared" si="1"/>
        <v>0</v>
      </c>
      <c r="V21" s="68">
        <f t="shared" si="2"/>
        <v>2</v>
      </c>
      <c r="W21" s="69">
        <f t="shared" si="3"/>
        <v>0</v>
      </c>
      <c r="X21" s="70">
        <f t="shared" si="4"/>
        <v>0</v>
      </c>
      <c r="Y21" s="71">
        <f t="shared" si="5"/>
        <v>0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 ht="12.75" customHeight="1">
      <c r="A22" s="132">
        <v>21.0</v>
      </c>
      <c r="B22" s="132"/>
      <c r="C22" s="132"/>
      <c r="D22" s="132"/>
      <c r="E22" s="132"/>
      <c r="F22" s="139"/>
      <c r="G22" s="139"/>
      <c r="H22" s="132"/>
      <c r="I22" s="132"/>
      <c r="J22" s="132"/>
      <c r="K22" s="132"/>
      <c r="L22" s="140"/>
      <c r="M22" s="140"/>
      <c r="N22" s="140"/>
      <c r="O22" s="140"/>
      <c r="P22" s="140"/>
      <c r="Q22" s="141"/>
      <c r="R22" s="139"/>
      <c r="S22" s="142"/>
      <c r="T22" s="143"/>
      <c r="U22" s="138">
        <f t="shared" si="1"/>
        <v>0</v>
      </c>
      <c r="V22" s="68">
        <f t="shared" si="2"/>
        <v>2</v>
      </c>
      <c r="W22" s="69">
        <f t="shared" si="3"/>
        <v>0</v>
      </c>
      <c r="X22" s="70">
        <f t="shared" si="4"/>
        <v>0</v>
      </c>
      <c r="Y22" s="71">
        <f t="shared" si="5"/>
        <v>0</v>
      </c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 ht="12.75" customHeight="1">
      <c r="A23" s="132">
        <v>22.0</v>
      </c>
      <c r="B23" s="132"/>
      <c r="C23" s="132"/>
      <c r="D23" s="132"/>
      <c r="E23" s="132"/>
      <c r="F23" s="139"/>
      <c r="G23" s="139"/>
      <c r="H23" s="132"/>
      <c r="I23" s="132"/>
      <c r="J23" s="132"/>
      <c r="K23" s="132"/>
      <c r="L23" s="140"/>
      <c r="M23" s="140"/>
      <c r="N23" s="140"/>
      <c r="O23" s="140"/>
      <c r="P23" s="140"/>
      <c r="Q23" s="141"/>
      <c r="R23" s="139"/>
      <c r="S23" s="142"/>
      <c r="T23" s="143"/>
      <c r="U23" s="138">
        <f t="shared" si="1"/>
        <v>0</v>
      </c>
      <c r="V23" s="68">
        <f t="shared" si="2"/>
        <v>2</v>
      </c>
      <c r="W23" s="69">
        <f t="shared" si="3"/>
        <v>0</v>
      </c>
      <c r="X23" s="70">
        <f t="shared" si="4"/>
        <v>0</v>
      </c>
      <c r="Y23" s="71">
        <f t="shared" si="5"/>
        <v>0</v>
      </c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 ht="12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 ht="12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 ht="12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 ht="12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35"/>
      <c r="U30" s="36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35"/>
      <c r="U31" s="36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 ht="12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5"/>
      <c r="U32" s="36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 ht="12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35"/>
      <c r="U33" s="36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35"/>
      <c r="U34" s="36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 ht="12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35"/>
      <c r="U35" s="36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35"/>
      <c r="U36" s="36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35"/>
      <c r="U37" s="36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ht="12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35"/>
      <c r="U38" s="36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35"/>
      <c r="U39" s="36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 ht="12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5"/>
      <c r="U40" s="36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 ht="12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35"/>
      <c r="U41" s="36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 ht="12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35"/>
      <c r="U42" s="36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 ht="12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35"/>
      <c r="U43" s="36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 ht="12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35"/>
      <c r="U44" s="36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 ht="12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35"/>
      <c r="U45" s="36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 ht="12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35"/>
      <c r="U46" s="36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 ht="12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35"/>
      <c r="U47" s="36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 ht="12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35"/>
      <c r="U48" s="36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 ht="12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35"/>
      <c r="U49" s="36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 ht="12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35"/>
      <c r="U50" s="36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 ht="12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35"/>
      <c r="U51" s="36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 ht="12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35"/>
      <c r="U52" s="36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ht="12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35"/>
      <c r="U53" s="36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35"/>
      <c r="U54" s="36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12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35"/>
      <c r="U55" s="36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12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35"/>
      <c r="U56" s="36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35"/>
      <c r="U57" s="36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12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35"/>
      <c r="U58" s="36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12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35"/>
      <c r="U59" s="36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ht="12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35"/>
      <c r="U60" s="36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 ht="12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35"/>
      <c r="U61" s="36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ht="12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35"/>
      <c r="U62" s="36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12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35"/>
      <c r="U63" s="36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12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35"/>
      <c r="U64" s="36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12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35"/>
      <c r="U65" s="36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12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35"/>
      <c r="U66" s="36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12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35"/>
      <c r="U67" s="36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ht="12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35"/>
      <c r="U68" s="36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ht="12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35"/>
      <c r="U69" s="36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ht="12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35"/>
      <c r="U70" s="36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ht="12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35"/>
      <c r="U71" s="36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 ht="12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35"/>
      <c r="U72" s="36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 ht="12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35"/>
      <c r="U73" s="36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 ht="12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35"/>
      <c r="U74" s="36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ht="12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35"/>
      <c r="U75" s="36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ht="12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35"/>
      <c r="U76" s="36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ht="12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35"/>
      <c r="U77" s="36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ht="12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35"/>
      <c r="U78" s="36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ht="12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35"/>
      <c r="U79" s="36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ht="12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35"/>
      <c r="U80" s="36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ht="12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35"/>
      <c r="U81" s="36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ht="12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35"/>
      <c r="U82" s="36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 ht="12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35"/>
      <c r="U83" s="36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ht="12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35"/>
      <c r="U84" s="36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ht="12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35"/>
      <c r="U85" s="36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ht="12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35"/>
      <c r="U86" s="36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 ht="12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35"/>
      <c r="U87" s="36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 ht="12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35"/>
      <c r="U88" s="36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 ht="12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35"/>
      <c r="U89" s="36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 ht="12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35"/>
      <c r="U90" s="36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ht="12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35"/>
      <c r="U91" s="36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 ht="12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35"/>
      <c r="U92" s="36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 ht="12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35"/>
      <c r="U93" s="36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ht="12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35"/>
      <c r="U94" s="36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 ht="12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35"/>
      <c r="U95" s="36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 ht="12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35"/>
      <c r="U96" s="36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 ht="12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35"/>
      <c r="U97" s="36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 ht="12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35"/>
      <c r="U98" s="36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ht="12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35"/>
      <c r="U99" s="36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 ht="12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35"/>
      <c r="U100" s="36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 ht="12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35"/>
      <c r="U101" s="36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ht="12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35"/>
      <c r="U102" s="36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ht="12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35"/>
      <c r="U103" s="36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ht="12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35"/>
      <c r="U104" s="36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ht="12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35"/>
      <c r="U105" s="36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ht="12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35"/>
      <c r="U106" s="36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ht="12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35"/>
      <c r="U107" s="36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ht="12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35"/>
      <c r="U108" s="36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ht="12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35"/>
      <c r="U109" s="36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ht="12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35"/>
      <c r="U110" s="36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ht="12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35"/>
      <c r="U111" s="36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ht="12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35"/>
      <c r="U112" s="36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 ht="12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35"/>
      <c r="U113" s="36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 ht="12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35"/>
      <c r="U114" s="36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ht="12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35"/>
      <c r="U115" s="36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 ht="12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35"/>
      <c r="U116" s="36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 ht="12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35"/>
      <c r="U117" s="36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ht="12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35"/>
      <c r="U118" s="36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 ht="12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35"/>
      <c r="U119" s="36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ht="12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35"/>
      <c r="U120" s="36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 ht="12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35"/>
      <c r="U121" s="36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 ht="12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35"/>
      <c r="U122" s="36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ht="12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35"/>
      <c r="U123" s="36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 ht="12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35"/>
      <c r="U124" s="36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 ht="12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35"/>
      <c r="U125" s="36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 ht="12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35"/>
      <c r="U126" s="36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ht="12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35"/>
      <c r="U127" s="36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 ht="12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35"/>
      <c r="U128" s="36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 ht="12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35"/>
      <c r="U129" s="36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ht="12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35"/>
      <c r="U130" s="36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 ht="12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35"/>
      <c r="U131" s="36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ht="12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35"/>
      <c r="U132" s="36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 ht="12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35"/>
      <c r="U133" s="36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 ht="12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35"/>
      <c r="U134" s="36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ht="12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35"/>
      <c r="U135" s="36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 ht="12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35"/>
      <c r="U136" s="36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 ht="12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35"/>
      <c r="U137" s="36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 ht="12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35"/>
      <c r="U138" s="36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ht="12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35"/>
      <c r="U139" s="36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 ht="12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35"/>
      <c r="U140" s="36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 ht="12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35"/>
      <c r="U141" s="36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ht="12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35"/>
      <c r="U142" s="36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 ht="12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35"/>
      <c r="U143" s="36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ht="12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35"/>
      <c r="U144" s="36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 ht="12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35"/>
      <c r="U145" s="36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 ht="12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35"/>
      <c r="U146" s="36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ht="12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35"/>
      <c r="U147" s="36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 ht="12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35"/>
      <c r="U148" s="36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 ht="12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35"/>
      <c r="U149" s="36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 ht="12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35"/>
      <c r="U150" s="36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ht="12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35"/>
      <c r="U151" s="36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 ht="12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35"/>
      <c r="U152" s="36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 ht="12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35"/>
      <c r="U153" s="36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ht="12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35"/>
      <c r="U154" s="36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 ht="12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35"/>
      <c r="U155" s="36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ht="12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35"/>
      <c r="U156" s="36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 ht="12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35"/>
      <c r="U157" s="36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 ht="12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35"/>
      <c r="U158" s="36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ht="12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35"/>
      <c r="U159" s="36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 ht="12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35"/>
      <c r="U160" s="36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 ht="12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35"/>
      <c r="U161" s="36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 ht="12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35"/>
      <c r="U162" s="36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ht="12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35"/>
      <c r="U163" s="36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 ht="12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35"/>
      <c r="U164" s="36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 ht="12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35"/>
      <c r="U165" s="36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ht="12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35"/>
      <c r="U166" s="36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 ht="12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35"/>
      <c r="U167" s="36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ht="12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35"/>
      <c r="U168" s="36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 ht="12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35"/>
      <c r="U169" s="36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 ht="12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35"/>
      <c r="U170" s="36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ht="12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35"/>
      <c r="U171" s="36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 ht="12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35"/>
      <c r="U172" s="36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 ht="12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35"/>
      <c r="U173" s="36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 ht="12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35"/>
      <c r="U174" s="36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ht="12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35"/>
      <c r="U175" s="36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 ht="12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35"/>
      <c r="U176" s="36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 ht="12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35"/>
      <c r="U177" s="36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ht="12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35"/>
      <c r="U178" s="36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 ht="12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35"/>
      <c r="U179" s="36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 ht="12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35"/>
      <c r="U180" s="36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 ht="12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35"/>
      <c r="U181" s="36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 ht="12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35"/>
      <c r="U182" s="36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 ht="12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35"/>
      <c r="U183" s="36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 ht="12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35"/>
      <c r="U184" s="36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 ht="12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35"/>
      <c r="U185" s="36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 ht="12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35"/>
      <c r="U186" s="36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ht="12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35"/>
      <c r="U187" s="36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 ht="12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35"/>
      <c r="U188" s="36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 ht="12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35"/>
      <c r="U189" s="36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 ht="12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35"/>
      <c r="U190" s="36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 ht="12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35"/>
      <c r="U191" s="36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 ht="12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35"/>
      <c r="U192" s="36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 ht="12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35"/>
      <c r="U193" s="36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 ht="12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35"/>
      <c r="U194" s="36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 ht="12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35"/>
      <c r="U195" s="36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 ht="12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35"/>
      <c r="U196" s="36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 ht="12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35"/>
      <c r="U197" s="36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 ht="12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35"/>
      <c r="U198" s="36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 ht="12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35"/>
      <c r="U199" s="36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 ht="12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35"/>
      <c r="U200" s="36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 ht="12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35"/>
      <c r="U201" s="36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 ht="12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35"/>
      <c r="U202" s="36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 ht="12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35"/>
      <c r="U203" s="36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 ht="12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35"/>
      <c r="U204" s="36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 ht="12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35"/>
      <c r="U205" s="36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 ht="12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35"/>
      <c r="U206" s="36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 ht="12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35"/>
      <c r="U207" s="36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 ht="12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35"/>
      <c r="U208" s="36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 ht="12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35"/>
      <c r="U209" s="36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 ht="12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35"/>
      <c r="U210" s="36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 ht="12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35"/>
      <c r="U211" s="36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 ht="12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35"/>
      <c r="U212" s="36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 ht="12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35"/>
      <c r="U213" s="36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 ht="12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35"/>
      <c r="U214" s="36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 ht="12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35"/>
      <c r="U215" s="36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 ht="12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35"/>
      <c r="U216" s="36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 ht="12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35"/>
      <c r="U217" s="36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 ht="12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35"/>
      <c r="U218" s="36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 ht="12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35"/>
      <c r="U219" s="36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 ht="12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35"/>
      <c r="U220" s="36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35"/>
      <c r="U221" s="36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35"/>
      <c r="U222" s="36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35"/>
      <c r="U223" s="36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35"/>
      <c r="U224" s="36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35"/>
      <c r="U225" s="36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35"/>
      <c r="U226" s="36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35"/>
      <c r="U227" s="36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35"/>
      <c r="U228" s="36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35"/>
      <c r="U229" s="36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35"/>
      <c r="U230" s="36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35"/>
      <c r="U231" s="36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35"/>
      <c r="U232" s="36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35"/>
      <c r="U233" s="36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35"/>
      <c r="U234" s="36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35"/>
      <c r="U235" s="36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35"/>
      <c r="U236" s="36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35"/>
      <c r="U237" s="36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35"/>
      <c r="U238" s="36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35"/>
      <c r="U239" s="36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35"/>
      <c r="U240" s="36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35"/>
      <c r="U241" s="36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35"/>
      <c r="U242" s="36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35"/>
      <c r="U243" s="36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35"/>
      <c r="U244" s="36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 ht="12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35"/>
      <c r="U245" s="36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 ht="12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35"/>
      <c r="U246" s="36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 ht="12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35"/>
      <c r="U247" s="36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 ht="12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35"/>
      <c r="U248" s="36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 ht="12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35"/>
      <c r="U249" s="36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 ht="12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35"/>
      <c r="U250" s="36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 ht="12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35"/>
      <c r="U251" s="36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 ht="12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35"/>
      <c r="U252" s="36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 ht="12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35"/>
      <c r="U253" s="36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 ht="12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35"/>
      <c r="U254" s="36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 ht="12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35"/>
      <c r="U255" s="36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 ht="12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35"/>
      <c r="U256" s="36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 ht="12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35"/>
      <c r="U257" s="36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 ht="12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35"/>
      <c r="U258" s="36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 ht="12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35"/>
      <c r="U259" s="36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 ht="12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35"/>
      <c r="U260" s="36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 ht="12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35"/>
      <c r="U261" s="36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 ht="12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35"/>
      <c r="U262" s="36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 ht="12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35"/>
      <c r="U263" s="36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 ht="12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35"/>
      <c r="U264" s="36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 ht="12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35"/>
      <c r="U265" s="36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 ht="12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35"/>
      <c r="U266" s="36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 ht="12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35"/>
      <c r="U267" s="36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 ht="12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35"/>
      <c r="U268" s="36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 ht="12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35"/>
      <c r="U269" s="36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 ht="12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35"/>
      <c r="U270" s="36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 ht="12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35"/>
      <c r="U271" s="36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 ht="12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35"/>
      <c r="U272" s="36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 ht="12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35"/>
      <c r="U273" s="36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 ht="12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35"/>
      <c r="U274" s="36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 ht="12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35"/>
      <c r="U275" s="36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 ht="12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35"/>
      <c r="U276" s="36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 ht="12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35"/>
      <c r="U277" s="36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 ht="12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35"/>
      <c r="U278" s="36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 ht="12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35"/>
      <c r="U279" s="36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 ht="12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35"/>
      <c r="U280" s="36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 ht="12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35"/>
      <c r="U281" s="36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 ht="12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35"/>
      <c r="U282" s="36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 ht="12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35"/>
      <c r="U283" s="36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 ht="12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35"/>
      <c r="U284" s="36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 ht="12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35"/>
      <c r="U285" s="36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 ht="12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35"/>
      <c r="U286" s="36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 ht="12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35"/>
      <c r="U287" s="36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 ht="12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35"/>
      <c r="U288" s="36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 ht="12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35"/>
      <c r="U289" s="36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 ht="12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35"/>
      <c r="U290" s="36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 ht="12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35"/>
      <c r="U291" s="36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 ht="12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35"/>
      <c r="U292" s="36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 ht="12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35"/>
      <c r="U293" s="36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 ht="12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35"/>
      <c r="U294" s="36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 ht="12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35"/>
      <c r="U295" s="36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 ht="12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35"/>
      <c r="U296" s="36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 ht="12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35"/>
      <c r="U297" s="36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 ht="12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35"/>
      <c r="U298" s="36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 ht="12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35"/>
      <c r="U299" s="36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 ht="12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35"/>
      <c r="U300" s="36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 ht="12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35"/>
      <c r="U301" s="36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 ht="12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35"/>
      <c r="U302" s="36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 ht="12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35"/>
      <c r="U303" s="36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 ht="12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35"/>
      <c r="U304" s="36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 ht="12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35"/>
      <c r="U305" s="36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 ht="12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35"/>
      <c r="U306" s="36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 ht="12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35"/>
      <c r="U307" s="36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 ht="12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35"/>
      <c r="U308" s="36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 ht="12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35"/>
      <c r="U309" s="36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 ht="12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35"/>
      <c r="U310" s="36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 ht="12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35"/>
      <c r="U311" s="36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 ht="12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35"/>
      <c r="U312" s="36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 ht="12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35"/>
      <c r="U313" s="36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 ht="12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35"/>
      <c r="U314" s="36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 ht="12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35"/>
      <c r="U315" s="36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 ht="12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35"/>
      <c r="U316" s="36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 ht="12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35"/>
      <c r="U317" s="36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 ht="12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35"/>
      <c r="U318" s="36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 ht="12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35"/>
      <c r="U319" s="36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 ht="12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35"/>
      <c r="U320" s="36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 ht="12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35"/>
      <c r="U321" s="36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 ht="12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35"/>
      <c r="U322" s="36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 ht="12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35"/>
      <c r="U323" s="36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 ht="12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35"/>
      <c r="U324" s="36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 ht="12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35"/>
      <c r="U325" s="36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 ht="12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35"/>
      <c r="U326" s="36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 ht="12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35"/>
      <c r="U327" s="36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 ht="12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35"/>
      <c r="U328" s="36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 ht="12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35"/>
      <c r="U329" s="36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 ht="12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35"/>
      <c r="U330" s="36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 ht="12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35"/>
      <c r="U331" s="36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 ht="12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35"/>
      <c r="U332" s="36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 ht="12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35"/>
      <c r="U333" s="36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 ht="12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35"/>
      <c r="U334" s="36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 ht="12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35"/>
      <c r="U335" s="36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 ht="12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35"/>
      <c r="U336" s="36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 ht="12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35"/>
      <c r="U337" s="36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 ht="12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35"/>
      <c r="U338" s="36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 ht="12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35"/>
      <c r="U339" s="36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 ht="12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35"/>
      <c r="U340" s="36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 ht="12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35"/>
      <c r="U341" s="36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 ht="12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35"/>
      <c r="U342" s="36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 ht="12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35"/>
      <c r="U343" s="36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 ht="12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35"/>
      <c r="U344" s="36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 ht="12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35"/>
      <c r="U345" s="36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 ht="12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35"/>
      <c r="U346" s="36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 ht="12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35"/>
      <c r="U347" s="36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 ht="12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35"/>
      <c r="U348" s="36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 ht="12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35"/>
      <c r="U349" s="36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 ht="12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35"/>
      <c r="U350" s="36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 ht="12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35"/>
      <c r="U351" s="36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 ht="12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35"/>
      <c r="U352" s="36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 ht="12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35"/>
      <c r="U353" s="36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 ht="12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35"/>
      <c r="U354" s="36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 ht="12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35"/>
      <c r="U355" s="36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 ht="12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35"/>
      <c r="U356" s="36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 ht="12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35"/>
      <c r="U357" s="36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 ht="12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35"/>
      <c r="U358" s="36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 ht="12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35"/>
      <c r="U359" s="36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 ht="12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35"/>
      <c r="U360" s="36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 ht="12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35"/>
      <c r="U361" s="36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 ht="12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35"/>
      <c r="U362" s="36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 ht="12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35"/>
      <c r="U363" s="36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 ht="12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35"/>
      <c r="U364" s="36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 ht="12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35"/>
      <c r="U365" s="36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 ht="12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35"/>
      <c r="U366" s="36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 ht="12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35"/>
      <c r="U367" s="36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 ht="12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35"/>
      <c r="U368" s="36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 ht="12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35"/>
      <c r="U369" s="36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 ht="12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35"/>
      <c r="U370" s="36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 ht="12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35"/>
      <c r="U371" s="36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 ht="12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35"/>
      <c r="U372" s="36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 ht="12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35"/>
      <c r="U373" s="36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 ht="12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35"/>
      <c r="U374" s="36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 ht="12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35"/>
      <c r="U375" s="36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 ht="12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35"/>
      <c r="U376" s="36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 ht="12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35"/>
      <c r="U377" s="36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 ht="12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35"/>
      <c r="U378" s="36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 ht="12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35"/>
      <c r="U379" s="36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 ht="12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35"/>
      <c r="U380" s="36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 ht="12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35"/>
      <c r="U381" s="36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 ht="12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35"/>
      <c r="U382" s="36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 ht="12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35"/>
      <c r="U383" s="36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 ht="12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35"/>
      <c r="U384" s="36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 ht="12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35"/>
      <c r="U385" s="36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 ht="12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35"/>
      <c r="U386" s="36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 ht="12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35"/>
      <c r="U387" s="36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 ht="12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35"/>
      <c r="U388" s="36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 ht="12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35"/>
      <c r="U389" s="36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 ht="12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35"/>
      <c r="U390" s="36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 ht="12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35"/>
      <c r="U391" s="36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 ht="12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35"/>
      <c r="U392" s="36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 ht="12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35"/>
      <c r="U393" s="36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 ht="12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35"/>
      <c r="U394" s="36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 ht="12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35"/>
      <c r="U395" s="36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 ht="12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35"/>
      <c r="U396" s="36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 ht="12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35"/>
      <c r="U397" s="36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 ht="12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35"/>
      <c r="U398" s="36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 ht="12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35"/>
      <c r="U399" s="36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 ht="12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35"/>
      <c r="U400" s="36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 ht="12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35"/>
      <c r="U401" s="36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 ht="12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35"/>
      <c r="U402" s="36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 ht="12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35"/>
      <c r="U403" s="36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 ht="12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35"/>
      <c r="U404" s="36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 ht="12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35"/>
      <c r="U405" s="36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 ht="12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35"/>
      <c r="U406" s="36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 ht="12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35"/>
      <c r="U407" s="36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 ht="12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35"/>
      <c r="U408" s="36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 ht="12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35"/>
      <c r="U409" s="36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 ht="12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35"/>
      <c r="U410" s="36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 ht="12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35"/>
      <c r="U411" s="36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 ht="12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35"/>
      <c r="U412" s="36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 ht="12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35"/>
      <c r="U413" s="36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 ht="12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35"/>
      <c r="U414" s="36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 ht="12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35"/>
      <c r="U415" s="36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 ht="12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35"/>
      <c r="U416" s="36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 ht="12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35"/>
      <c r="U417" s="36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 ht="12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35"/>
      <c r="U418" s="36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 ht="12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35"/>
      <c r="U419" s="36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 ht="12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35"/>
      <c r="U420" s="36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 ht="12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35"/>
      <c r="U421" s="36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 ht="12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35"/>
      <c r="U422" s="36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 ht="12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35"/>
      <c r="U423" s="36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 ht="12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35"/>
      <c r="U424" s="36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 ht="12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35"/>
      <c r="U425" s="36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 ht="12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35"/>
      <c r="U426" s="36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 ht="12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35"/>
      <c r="U427" s="36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 ht="12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35"/>
      <c r="U428" s="36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 ht="12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35"/>
      <c r="U429" s="36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 ht="12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35"/>
      <c r="U430" s="36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 ht="12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35"/>
      <c r="U431" s="36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 ht="12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35"/>
      <c r="U432" s="36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 ht="12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35"/>
      <c r="U433" s="36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 ht="12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35"/>
      <c r="U434" s="36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 ht="12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35"/>
      <c r="U435" s="36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 ht="12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35"/>
      <c r="U436" s="36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 ht="12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35"/>
      <c r="U437" s="36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 ht="12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35"/>
      <c r="U438" s="36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 ht="12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35"/>
      <c r="U439" s="36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 ht="12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35"/>
      <c r="U440" s="36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 ht="12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35"/>
      <c r="U441" s="36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 ht="12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35"/>
      <c r="U442" s="36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 ht="12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35"/>
      <c r="U443" s="36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 ht="12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35"/>
      <c r="U444" s="36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 ht="12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35"/>
      <c r="U445" s="36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 ht="12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35"/>
      <c r="U446" s="36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 ht="12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35"/>
      <c r="U447" s="36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 ht="12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35"/>
      <c r="U448" s="36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 ht="12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35"/>
      <c r="U449" s="36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 ht="12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35"/>
      <c r="U450" s="36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 ht="12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35"/>
      <c r="U451" s="36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 ht="12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35"/>
      <c r="U452" s="36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 ht="12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35"/>
      <c r="U453" s="36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 ht="12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35"/>
      <c r="U454" s="36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 ht="12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35"/>
      <c r="U455" s="36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 ht="12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35"/>
      <c r="U456" s="36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 ht="12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35"/>
      <c r="U457" s="36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 ht="12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35"/>
      <c r="U458" s="36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 ht="12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35"/>
      <c r="U459" s="36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 ht="12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35"/>
      <c r="U460" s="36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 ht="12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35"/>
      <c r="U461" s="36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 ht="12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35"/>
      <c r="U462" s="36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 ht="12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35"/>
      <c r="U463" s="36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 ht="12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35"/>
      <c r="U464" s="36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 ht="12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35"/>
      <c r="U465" s="36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 ht="12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35"/>
      <c r="U466" s="36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 ht="12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35"/>
      <c r="U467" s="36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 ht="12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35"/>
      <c r="U468" s="36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 ht="12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35"/>
      <c r="U469" s="36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 ht="12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35"/>
      <c r="U470" s="36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 ht="12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35"/>
      <c r="U471" s="36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 ht="12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35"/>
      <c r="U472" s="36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 ht="12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35"/>
      <c r="U473" s="36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 ht="12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35"/>
      <c r="U474" s="36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 ht="12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35"/>
      <c r="U475" s="36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 ht="12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35"/>
      <c r="U476" s="36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 ht="12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35"/>
      <c r="U477" s="36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 ht="12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35"/>
      <c r="U478" s="36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 ht="12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35"/>
      <c r="U479" s="36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 ht="12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35"/>
      <c r="U480" s="36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 ht="12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35"/>
      <c r="U481" s="36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 ht="12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35"/>
      <c r="U482" s="36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 ht="12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35"/>
      <c r="U483" s="36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 ht="12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35"/>
      <c r="U484" s="36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 ht="12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35"/>
      <c r="U485" s="36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 ht="12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35"/>
      <c r="U486" s="36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 ht="12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35"/>
      <c r="U487" s="36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 ht="12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35"/>
      <c r="U488" s="36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 ht="12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35"/>
      <c r="U489" s="36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 ht="12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35"/>
      <c r="U490" s="36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 ht="12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35"/>
      <c r="U491" s="36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 ht="12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35"/>
      <c r="U492" s="36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 ht="12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35"/>
      <c r="U493" s="36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 ht="12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35"/>
      <c r="U494" s="36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 ht="12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35"/>
      <c r="U495" s="36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 ht="12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35"/>
      <c r="U496" s="36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 ht="12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35"/>
      <c r="U497" s="36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 ht="12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35"/>
      <c r="U498" s="36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 ht="12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35"/>
      <c r="U499" s="36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 ht="12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35"/>
      <c r="U500" s="36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 ht="12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35"/>
      <c r="U501" s="36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 ht="12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35"/>
      <c r="U502" s="36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 ht="12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35"/>
      <c r="U503" s="36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 ht="12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35"/>
      <c r="U504" s="36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 ht="12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35"/>
      <c r="U505" s="36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 ht="12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35"/>
      <c r="U506" s="36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 ht="12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35"/>
      <c r="U507" s="36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 ht="12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35"/>
      <c r="U508" s="36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 ht="12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35"/>
      <c r="U509" s="36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 ht="12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35"/>
      <c r="U510" s="36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 ht="12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35"/>
      <c r="U511" s="36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 ht="12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35"/>
      <c r="U512" s="36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 ht="12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35"/>
      <c r="U513" s="36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 ht="12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35"/>
      <c r="U514" s="36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 ht="12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35"/>
      <c r="U515" s="36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 ht="12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35"/>
      <c r="U516" s="36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 ht="12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35"/>
      <c r="U517" s="36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 ht="12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35"/>
      <c r="U518" s="36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 ht="12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35"/>
      <c r="U519" s="36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 ht="12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35"/>
      <c r="U520" s="36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 ht="12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35"/>
      <c r="U521" s="36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 ht="12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35"/>
      <c r="U522" s="36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 ht="12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35"/>
      <c r="U523" s="36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 ht="12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35"/>
      <c r="U524" s="36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 ht="12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35"/>
      <c r="U525" s="36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 ht="12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35"/>
      <c r="U526" s="36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 ht="12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35"/>
      <c r="U527" s="36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 ht="12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35"/>
      <c r="U528" s="36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 ht="12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35"/>
      <c r="U529" s="36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 ht="12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35"/>
      <c r="U530" s="36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 ht="12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35"/>
      <c r="U531" s="36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 ht="12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35"/>
      <c r="U532" s="36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 ht="12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35"/>
      <c r="U533" s="36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 ht="12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35"/>
      <c r="U534" s="36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 ht="12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35"/>
      <c r="U535" s="36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 ht="12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35"/>
      <c r="U536" s="36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 ht="12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35"/>
      <c r="U537" s="36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 ht="12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35"/>
      <c r="U538" s="36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 ht="12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35"/>
      <c r="U539" s="36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 ht="12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35"/>
      <c r="U540" s="36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 ht="12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35"/>
      <c r="U541" s="36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 ht="12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35"/>
      <c r="U542" s="36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 ht="12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35"/>
      <c r="U543" s="36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 ht="12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35"/>
      <c r="U544" s="36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 ht="12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35"/>
      <c r="U545" s="36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 ht="12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35"/>
      <c r="U546" s="36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 ht="12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35"/>
      <c r="U547" s="36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 ht="12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35"/>
      <c r="U548" s="36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 ht="12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35"/>
      <c r="U549" s="36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 ht="12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35"/>
      <c r="U550" s="36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 ht="12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35"/>
      <c r="U551" s="36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 ht="12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35"/>
      <c r="U552" s="36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 ht="12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35"/>
      <c r="U553" s="36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 ht="12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35"/>
      <c r="U554" s="36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 ht="12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35"/>
      <c r="U555" s="36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 ht="12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35"/>
      <c r="U556" s="36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 ht="12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35"/>
      <c r="U557" s="36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 ht="12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35"/>
      <c r="U558" s="36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 ht="12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35"/>
      <c r="U559" s="36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 ht="12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35"/>
      <c r="U560" s="36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 ht="12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35"/>
      <c r="U561" s="36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 ht="12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35"/>
      <c r="U562" s="36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 ht="12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35"/>
      <c r="U563" s="36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 ht="12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35"/>
      <c r="U564" s="36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 ht="12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35"/>
      <c r="U565" s="36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 ht="12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35"/>
      <c r="U566" s="36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 ht="12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35"/>
      <c r="U567" s="36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 ht="12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35"/>
      <c r="U568" s="36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 ht="12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35"/>
      <c r="U569" s="36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 ht="12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35"/>
      <c r="U570" s="36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 ht="12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35"/>
      <c r="U571" s="36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 ht="12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35"/>
      <c r="U572" s="36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 ht="12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35"/>
      <c r="U573" s="36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 ht="12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35"/>
      <c r="U574" s="36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 ht="12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35"/>
      <c r="U575" s="36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 ht="12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35"/>
      <c r="U576" s="36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 ht="12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35"/>
      <c r="U577" s="36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 ht="12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35"/>
      <c r="U578" s="36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 ht="12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35"/>
      <c r="U579" s="36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 ht="12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35"/>
      <c r="U580" s="36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 ht="12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35"/>
      <c r="U581" s="36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 ht="12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35"/>
      <c r="U582" s="36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 ht="12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35"/>
      <c r="U583" s="36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 ht="12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35"/>
      <c r="U584" s="36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 ht="12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35"/>
      <c r="U585" s="36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 ht="12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35"/>
      <c r="U586" s="36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 ht="12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35"/>
      <c r="U587" s="36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 ht="12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35"/>
      <c r="U588" s="36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 ht="12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35"/>
      <c r="U589" s="36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 ht="12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35"/>
      <c r="U590" s="36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 ht="12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35"/>
      <c r="U591" s="36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 ht="12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35"/>
      <c r="U592" s="36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 ht="12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35"/>
      <c r="U593" s="36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 ht="12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35"/>
      <c r="U594" s="36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 ht="12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35"/>
      <c r="U595" s="36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 ht="12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35"/>
      <c r="U596" s="36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 ht="12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35"/>
      <c r="U597" s="36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 ht="12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35"/>
      <c r="U598" s="36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 ht="12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35"/>
      <c r="U599" s="36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 ht="12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35"/>
      <c r="U600" s="36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 ht="12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35"/>
      <c r="U601" s="36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 ht="12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35"/>
      <c r="U602" s="36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 ht="12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35"/>
      <c r="U603" s="36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 ht="12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35"/>
      <c r="U604" s="36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 ht="12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35"/>
      <c r="U605" s="36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 ht="12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35"/>
      <c r="U606" s="36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 ht="12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35"/>
      <c r="U607" s="36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 ht="12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35"/>
      <c r="U608" s="36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 ht="12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35"/>
      <c r="U609" s="36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 ht="12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35"/>
      <c r="U610" s="36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 ht="12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35"/>
      <c r="U611" s="36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 ht="12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35"/>
      <c r="U612" s="36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 ht="12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35"/>
      <c r="U613" s="36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 ht="12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35"/>
      <c r="U614" s="36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 ht="12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35"/>
      <c r="U615" s="36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 ht="12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35"/>
      <c r="U616" s="36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 ht="12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35"/>
      <c r="U617" s="36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 ht="12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35"/>
      <c r="U618" s="36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 ht="12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35"/>
      <c r="U619" s="36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 ht="12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35"/>
      <c r="U620" s="36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 ht="12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35"/>
      <c r="U621" s="36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 ht="12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35"/>
      <c r="U622" s="36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 ht="12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35"/>
      <c r="U623" s="36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 ht="12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35"/>
      <c r="U624" s="36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 ht="12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35"/>
      <c r="U625" s="36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 ht="12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35"/>
      <c r="U626" s="36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 ht="12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35"/>
      <c r="U627" s="36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 ht="12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35"/>
      <c r="U628" s="36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 ht="12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35"/>
      <c r="U629" s="36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 ht="12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35"/>
      <c r="U630" s="36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 ht="12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35"/>
      <c r="U631" s="36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 ht="12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35"/>
      <c r="U632" s="36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 ht="12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35"/>
      <c r="U633" s="36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 ht="12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35"/>
      <c r="U634" s="36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 ht="12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35"/>
      <c r="U635" s="36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 ht="12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35"/>
      <c r="U636" s="36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 ht="12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35"/>
      <c r="U637" s="36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 ht="12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35"/>
      <c r="U638" s="36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 ht="12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35"/>
      <c r="U639" s="36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 ht="12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35"/>
      <c r="U640" s="36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 ht="12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35"/>
      <c r="U641" s="36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 ht="12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35"/>
      <c r="U642" s="36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 ht="12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35"/>
      <c r="U643" s="36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 ht="12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35"/>
      <c r="U644" s="36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 ht="12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35"/>
      <c r="U645" s="36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 ht="12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35"/>
      <c r="U646" s="36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 ht="12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35"/>
      <c r="U647" s="36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 ht="12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35"/>
      <c r="U648" s="36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 ht="12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35"/>
      <c r="U649" s="36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 ht="12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35"/>
      <c r="U650" s="36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 ht="12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35"/>
      <c r="U651" s="36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 ht="12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35"/>
      <c r="U652" s="36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 ht="12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35"/>
      <c r="U653" s="36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 ht="12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35"/>
      <c r="U654" s="36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 ht="12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35"/>
      <c r="U655" s="36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 ht="12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35"/>
      <c r="U656" s="36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 ht="12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35"/>
      <c r="U657" s="36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 ht="12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35"/>
      <c r="U658" s="36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 ht="12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35"/>
      <c r="U659" s="36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 ht="12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35"/>
      <c r="U660" s="36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 ht="12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35"/>
      <c r="U661" s="36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 ht="12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35"/>
      <c r="U662" s="36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 ht="12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35"/>
      <c r="U663" s="36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 ht="12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35"/>
      <c r="U664" s="36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 ht="12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35"/>
      <c r="U665" s="36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 ht="12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35"/>
      <c r="U666" s="36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 ht="12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35"/>
      <c r="U667" s="36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 ht="12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35"/>
      <c r="U668" s="36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 ht="12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35"/>
      <c r="U669" s="36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 ht="12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35"/>
      <c r="U670" s="36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 ht="12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35"/>
      <c r="U671" s="36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 ht="12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35"/>
      <c r="U672" s="36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 ht="12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35"/>
      <c r="U673" s="36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 ht="12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35"/>
      <c r="U674" s="36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 ht="12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35"/>
      <c r="U675" s="36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 ht="12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35"/>
      <c r="U676" s="36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 ht="12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35"/>
      <c r="U677" s="36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 ht="12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35"/>
      <c r="U678" s="36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 ht="12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35"/>
      <c r="U679" s="36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 ht="12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35"/>
      <c r="U680" s="36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 ht="12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35"/>
      <c r="U681" s="36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 ht="12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35"/>
      <c r="U682" s="36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 ht="12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35"/>
      <c r="U683" s="36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 ht="12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35"/>
      <c r="U684" s="36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 ht="12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35"/>
      <c r="U685" s="36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 ht="12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35"/>
      <c r="U686" s="36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 ht="12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35"/>
      <c r="U687" s="36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 ht="12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35"/>
      <c r="U688" s="36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 ht="12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35"/>
      <c r="U689" s="36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 ht="12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35"/>
      <c r="U690" s="36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 ht="12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35"/>
      <c r="U691" s="36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 ht="12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35"/>
      <c r="U692" s="36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 ht="12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35"/>
      <c r="U693" s="36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 ht="12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35"/>
      <c r="U694" s="36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 ht="12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35"/>
      <c r="U695" s="36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 ht="12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35"/>
      <c r="U696" s="36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 ht="12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35"/>
      <c r="U697" s="36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 ht="12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35"/>
      <c r="U698" s="36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 ht="12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35"/>
      <c r="U699" s="36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 ht="12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35"/>
      <c r="U700" s="36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 ht="12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35"/>
      <c r="U701" s="36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 ht="12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35"/>
      <c r="U702" s="36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 ht="12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35"/>
      <c r="U703" s="36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 ht="12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35"/>
      <c r="U704" s="36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 ht="12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35"/>
      <c r="U705" s="36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 ht="12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35"/>
      <c r="U706" s="36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 ht="12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35"/>
      <c r="U707" s="36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 ht="12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35"/>
      <c r="U708" s="36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 ht="12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35"/>
      <c r="U709" s="36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 ht="12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35"/>
      <c r="U710" s="36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 ht="12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35"/>
      <c r="U711" s="36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 ht="12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35"/>
      <c r="U712" s="36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 ht="12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35"/>
      <c r="U713" s="36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 ht="12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35"/>
      <c r="U714" s="36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 ht="12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35"/>
      <c r="U715" s="36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 ht="12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35"/>
      <c r="U716" s="36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 ht="12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35"/>
      <c r="U717" s="36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 ht="12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35"/>
      <c r="U718" s="36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 ht="12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35"/>
      <c r="U719" s="36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 ht="12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35"/>
      <c r="U720" s="36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 ht="12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35"/>
      <c r="U721" s="36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 ht="12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35"/>
      <c r="U722" s="36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 ht="12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35"/>
      <c r="U723" s="36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 ht="12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35"/>
      <c r="U724" s="36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 ht="12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35"/>
      <c r="U725" s="36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 ht="12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35"/>
      <c r="U726" s="36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 ht="12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35"/>
      <c r="U727" s="36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 ht="12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35"/>
      <c r="U728" s="36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 ht="12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35"/>
      <c r="U729" s="36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 ht="12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35"/>
      <c r="U730" s="36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 ht="12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35"/>
      <c r="U731" s="36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 ht="12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35"/>
      <c r="U732" s="36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 ht="12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35"/>
      <c r="U733" s="36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 ht="12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35"/>
      <c r="U734" s="36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 ht="12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35"/>
      <c r="U735" s="36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 ht="12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35"/>
      <c r="U736" s="36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 ht="12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35"/>
      <c r="U737" s="36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 ht="12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35"/>
      <c r="U738" s="36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 ht="12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35"/>
      <c r="U739" s="36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 ht="12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35"/>
      <c r="U740" s="36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 ht="12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35"/>
      <c r="U741" s="36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 ht="12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35"/>
      <c r="U742" s="36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 ht="12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35"/>
      <c r="U743" s="36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 ht="12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35"/>
      <c r="U744" s="36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 ht="12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35"/>
      <c r="U745" s="36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 ht="12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35"/>
      <c r="U746" s="36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 ht="12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35"/>
      <c r="U747" s="36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 ht="12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35"/>
      <c r="U748" s="36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 ht="12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35"/>
      <c r="U749" s="36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 ht="12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35"/>
      <c r="U750" s="36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 ht="12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35"/>
      <c r="U751" s="36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 ht="12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35"/>
      <c r="U752" s="36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 ht="12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35"/>
      <c r="U753" s="36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 ht="12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35"/>
      <c r="U754" s="36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 ht="12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35"/>
      <c r="U755" s="36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 ht="12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35"/>
      <c r="U756" s="36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 ht="12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35"/>
      <c r="U757" s="36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 ht="12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35"/>
      <c r="U758" s="36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 ht="12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35"/>
      <c r="U759" s="36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 ht="12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35"/>
      <c r="U760" s="36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 ht="12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35"/>
      <c r="U761" s="36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 ht="12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35"/>
      <c r="U762" s="36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 ht="12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35"/>
      <c r="U763" s="36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 ht="12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35"/>
      <c r="U764" s="36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 ht="12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35"/>
      <c r="U765" s="36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 ht="12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35"/>
      <c r="U766" s="36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 ht="12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35"/>
      <c r="U767" s="36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 ht="12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35"/>
      <c r="U768" s="36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 ht="12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35"/>
      <c r="U769" s="36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 ht="12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35"/>
      <c r="U770" s="36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 ht="12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35"/>
      <c r="U771" s="36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 ht="12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35"/>
      <c r="U772" s="36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 ht="12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35"/>
      <c r="U773" s="36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 ht="12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35"/>
      <c r="U774" s="36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 ht="12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35"/>
      <c r="U775" s="36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 ht="12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35"/>
      <c r="U776" s="36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 ht="12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35"/>
      <c r="U777" s="36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 ht="12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35"/>
      <c r="U778" s="36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 ht="12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35"/>
      <c r="U779" s="36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 ht="12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35"/>
      <c r="U780" s="36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 ht="12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35"/>
      <c r="U781" s="36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 ht="12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35"/>
      <c r="U782" s="36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 ht="12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35"/>
      <c r="U783" s="36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 ht="12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35"/>
      <c r="U784" s="36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 ht="12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35"/>
      <c r="U785" s="36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 ht="12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35"/>
      <c r="U786" s="36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 ht="12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35"/>
      <c r="U787" s="36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 ht="12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35"/>
      <c r="U788" s="36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 ht="12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35"/>
      <c r="U789" s="36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 ht="12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35"/>
      <c r="U790" s="36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 ht="12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35"/>
      <c r="U791" s="36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 ht="12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35"/>
      <c r="U792" s="36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 ht="12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35"/>
      <c r="U793" s="36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 ht="12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35"/>
      <c r="U794" s="36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 ht="12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35"/>
      <c r="U795" s="36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 ht="12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35"/>
      <c r="U796" s="36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 ht="12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35"/>
      <c r="U797" s="36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 ht="12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35"/>
      <c r="U798" s="36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 ht="12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35"/>
      <c r="U799" s="36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 ht="12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35"/>
      <c r="U800" s="36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 ht="12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35"/>
      <c r="U801" s="36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 ht="12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35"/>
      <c r="U802" s="36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 ht="12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35"/>
      <c r="U803" s="36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 ht="12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35"/>
      <c r="U804" s="36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 ht="12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35"/>
      <c r="U805" s="36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 ht="12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35"/>
      <c r="U806" s="36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 ht="12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35"/>
      <c r="U807" s="36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35"/>
      <c r="U808" s="36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35"/>
      <c r="U809" s="36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35"/>
      <c r="U810" s="36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35"/>
      <c r="U811" s="36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35"/>
      <c r="U812" s="36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35"/>
      <c r="U813" s="36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35"/>
      <c r="U814" s="36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35"/>
      <c r="U815" s="36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35"/>
      <c r="U816" s="36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35"/>
      <c r="U817" s="36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35"/>
      <c r="U818" s="36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35"/>
      <c r="U819" s="36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35"/>
      <c r="U820" s="36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35"/>
      <c r="U821" s="36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35"/>
      <c r="U822" s="36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35"/>
      <c r="U823" s="36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35"/>
      <c r="U824" s="36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35"/>
      <c r="U825" s="36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35"/>
      <c r="U826" s="36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35"/>
      <c r="U827" s="36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35"/>
      <c r="U828" s="36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35"/>
      <c r="U829" s="36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35"/>
      <c r="U830" s="36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35"/>
      <c r="U831" s="36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35"/>
      <c r="U832" s="36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35"/>
      <c r="U833" s="36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35"/>
      <c r="U834" s="36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35"/>
      <c r="U835" s="36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35"/>
      <c r="U836" s="36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35"/>
      <c r="U837" s="36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35"/>
      <c r="U838" s="36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35"/>
      <c r="U839" s="36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35"/>
      <c r="U840" s="36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35"/>
      <c r="U841" s="36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35"/>
      <c r="U842" s="36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35"/>
      <c r="U843" s="36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35"/>
      <c r="U844" s="36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35"/>
      <c r="U845" s="36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35"/>
      <c r="U846" s="36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35"/>
      <c r="U847" s="36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35"/>
      <c r="U848" s="36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35"/>
      <c r="U849" s="36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35"/>
      <c r="U850" s="36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35"/>
      <c r="U851" s="36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35"/>
      <c r="U852" s="36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35"/>
      <c r="U853" s="36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35"/>
      <c r="U854" s="36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35"/>
      <c r="U855" s="36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35"/>
      <c r="U856" s="36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35"/>
      <c r="U857" s="36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35"/>
      <c r="U858" s="36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35"/>
      <c r="U859" s="36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35"/>
      <c r="U860" s="36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35"/>
      <c r="U861" s="36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35"/>
      <c r="U862" s="36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35"/>
      <c r="U863" s="36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35"/>
      <c r="U864" s="36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35"/>
      <c r="U865" s="36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35"/>
      <c r="U866" s="36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35"/>
      <c r="U867" s="36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35"/>
      <c r="U868" s="36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35"/>
      <c r="U869" s="36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35"/>
      <c r="U870" s="36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35"/>
      <c r="U871" s="36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35"/>
      <c r="U872" s="36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35"/>
      <c r="U873" s="36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35"/>
      <c r="U874" s="36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35"/>
      <c r="U875" s="36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35"/>
      <c r="U876" s="36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35"/>
      <c r="U877" s="36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35"/>
      <c r="U878" s="36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35"/>
      <c r="U879" s="36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35"/>
      <c r="U880" s="36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35"/>
      <c r="U881" s="36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35"/>
      <c r="U882" s="36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35"/>
      <c r="U883" s="36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35"/>
      <c r="U884" s="36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35"/>
      <c r="U885" s="36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35"/>
      <c r="U886" s="36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35"/>
      <c r="U887" s="36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35"/>
      <c r="U888" s="36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35"/>
      <c r="U889" s="36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35"/>
      <c r="U890" s="36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35"/>
      <c r="U891" s="36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35"/>
      <c r="U892" s="36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35"/>
      <c r="U893" s="36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35"/>
      <c r="U894" s="36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35"/>
      <c r="U895" s="36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35"/>
      <c r="U896" s="36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35"/>
      <c r="U897" s="36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35"/>
      <c r="U898" s="36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35"/>
      <c r="U899" s="36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35"/>
      <c r="U900" s="36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35"/>
      <c r="U901" s="36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35"/>
      <c r="U902" s="36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35"/>
      <c r="U903" s="36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35"/>
      <c r="U904" s="36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35"/>
      <c r="U905" s="36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35"/>
      <c r="U906" s="36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35"/>
      <c r="U907" s="36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35"/>
      <c r="U908" s="36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35"/>
      <c r="U909" s="36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35"/>
      <c r="U910" s="36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35"/>
      <c r="U911" s="36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35"/>
      <c r="U912" s="36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35"/>
      <c r="U913" s="36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35"/>
      <c r="U914" s="36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35"/>
      <c r="U915" s="36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35"/>
      <c r="U916" s="36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35"/>
      <c r="U917" s="36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35"/>
      <c r="U918" s="36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35"/>
      <c r="U919" s="36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35"/>
      <c r="U920" s="36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35"/>
      <c r="U921" s="36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35"/>
      <c r="U922" s="36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35"/>
      <c r="U923" s="36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35"/>
      <c r="U924" s="36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35"/>
      <c r="U925" s="36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35"/>
      <c r="U926" s="36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35"/>
      <c r="U927" s="36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35"/>
      <c r="U928" s="36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35"/>
      <c r="U929" s="36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35"/>
      <c r="U930" s="36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35"/>
      <c r="U931" s="36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35"/>
      <c r="U932" s="36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35"/>
      <c r="U933" s="36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35"/>
      <c r="U934" s="36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35"/>
      <c r="U935" s="36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35"/>
      <c r="U936" s="36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35"/>
      <c r="U937" s="36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35"/>
      <c r="U938" s="36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35"/>
      <c r="U939" s="36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35"/>
      <c r="U940" s="36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35"/>
      <c r="U941" s="36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35"/>
      <c r="U942" s="36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35"/>
      <c r="U943" s="36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35"/>
      <c r="U944" s="36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35"/>
      <c r="U945" s="36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35"/>
      <c r="U946" s="36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35"/>
      <c r="U947" s="36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35"/>
      <c r="U948" s="36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35"/>
      <c r="U949" s="36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35"/>
      <c r="U950" s="36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35"/>
      <c r="U951" s="36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35"/>
      <c r="U952" s="36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35"/>
      <c r="U953" s="36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35"/>
      <c r="U954" s="36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35"/>
      <c r="U955" s="36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35"/>
      <c r="U956" s="36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35"/>
      <c r="U957" s="36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35"/>
      <c r="U958" s="36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35"/>
      <c r="U959" s="36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35"/>
      <c r="U960" s="36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35"/>
      <c r="U961" s="36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35"/>
      <c r="U962" s="36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35"/>
      <c r="U963" s="36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35"/>
      <c r="U964" s="36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35"/>
      <c r="U965" s="36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 ht="12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35"/>
      <c r="U966" s="36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 ht="12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35"/>
      <c r="U967" s="36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 ht="12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35"/>
      <c r="U968" s="36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 ht="12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35"/>
      <c r="U969" s="36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 ht="12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35"/>
      <c r="U970" s="36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 ht="12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35"/>
      <c r="U971" s="36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 ht="12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35"/>
      <c r="U972" s="36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 ht="12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35"/>
      <c r="U973" s="36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 ht="12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35"/>
      <c r="U974" s="36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 ht="12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35"/>
      <c r="U975" s="36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 ht="12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35"/>
      <c r="U976" s="36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 ht="12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35"/>
      <c r="U977" s="36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 ht="12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35"/>
      <c r="U978" s="36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 ht="12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35"/>
      <c r="U979" s="36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 ht="12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35"/>
      <c r="U980" s="36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 ht="12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35"/>
      <c r="U981" s="36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 ht="12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35"/>
      <c r="U982" s="36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 ht="12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35"/>
      <c r="U983" s="36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 ht="12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35"/>
      <c r="U984" s="36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 ht="12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35"/>
      <c r="U985" s="36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 ht="12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35"/>
      <c r="U986" s="36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 ht="12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35"/>
      <c r="U987" s="36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 ht="12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35"/>
      <c r="U988" s="36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 ht="12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35"/>
      <c r="U989" s="36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 ht="12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35"/>
      <c r="U990" s="36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 ht="12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35"/>
      <c r="U991" s="36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 ht="12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35"/>
      <c r="U992" s="36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 ht="12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35"/>
      <c r="U993" s="36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 ht="12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35"/>
      <c r="U994" s="36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</sheetData>
  <conditionalFormatting sqref="V2:V23">
    <cfRule type="cellIs" dxfId="0" priority="1" operator="equal">
      <formula>1</formula>
    </cfRule>
  </conditionalFormatting>
  <conditionalFormatting sqref="V2:V23">
    <cfRule type="cellIs" dxfId="1" priority="2" operator="equal">
      <formula>2</formula>
    </cfRule>
  </conditionalFormatting>
  <dataValidations>
    <dataValidation type="decimal" allowBlank="1" showInputMessage="1" showErrorMessage="1" prompt="Valor erróneo - Recuerda que solo se pueden ingresar números en esta celda." sqref="L2:Q23 V2:V23">
      <formula1>-100000.0</formula1>
      <formula2>100000.0</formula2>
    </dataValidation>
  </dataValidations>
  <printOptions/>
  <pageMargins bottom="0.75" footer="0.0" header="0.0" left="0.7" right="0.7" top="0.75"/>
  <pageSetup paperSize="9" orientation="portrait"/>
  <drawing r:id="rId4"/>
  <legacyDrawing r:id="rId5"/>
</worksheet>
</file>